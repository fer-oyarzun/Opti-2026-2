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3b4868c2db4c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giones_Generacion" sheetId="1" r:id="R9595d8fdf78c4560"/>
    <x:sheet xmlns:r="http://schemas.openxmlformats.org/officeDocument/2006/relationships" name="Metas_DS8" sheetId="2" r:id="R076c4973da86418f"/>
    <x:sheet xmlns:r="http://schemas.openxmlformats.org/officeDocument/2006/relationships" name="Centros_Acopio" sheetId="3" r:id="R1d37b0d379114372"/>
    <x:sheet xmlns:r="http://schemas.openxmlformats.org/officeDocument/2006/relationships" name="Plantas_Tecnologias" sheetId="4" r:id="R63f9be522a2843cc"/>
    <x:sheet xmlns:r="http://schemas.openxmlformats.org/officeDocument/2006/relationships" name="Tecnologias_Costos" sheetId="5" r:id="R720631187b7d467e"/>
    <x:sheet xmlns:r="http://schemas.openxmlformats.org/officeDocument/2006/relationships" name="Costos_Transporte" sheetId="6" r:id="R01218b61f073475e"/>
    <x:sheet xmlns:r="http://schemas.openxmlformats.org/officeDocument/2006/relationships" name="Supuestos_Inversion" sheetId="7" r:id="Rdc060561aa164565"/>
    <x:sheet xmlns:r="http://schemas.openxmlformats.org/officeDocument/2006/relationships" name="Oferta_Base" sheetId="8" r:id="R2a00ce076b5641d5"/>
  </x:sheets>
</x:workbook>
</file>

<file path=xl/sharedStrings.xml><?xml version="1.0" encoding="utf-8"?>
<x:sst xmlns:x="http://schemas.openxmlformats.org/spreadsheetml/2006/main">
  <x:si>
    <x:t xml:space="preserve">ID_Region</x:t>
  </x:si>
  <x:si>
    <x:t xml:space="preserve">Nombre_Region</x:t>
  </x:si>
  <x:si>
    <x:t xml:space="preserve">Capital_Nodo</x:t>
  </x:si>
  <x:si>
    <x:t xml:space="preserve">Cuota_DS8_qr [-]</x:t>
  </x:si>
  <x:si>
    <x:t xml:space="preserve">Participacion_Parque [-]</x:t>
  </x:si>
  <x:si>
    <x:t xml:space="preserve">Gen_2026 [ton]</x:t>
  </x:si>
  <x:si>
    <x:t xml:space="preserve">Gen_2027 [ton]</x:t>
  </x:si>
  <x:si>
    <x:t xml:space="preserve">Gen_2028 [ton]</x:t>
  </x:si>
  <x:si>
    <x:t xml:space="preserve">Gen_2029 [ton]</x:t>
  </x:si>
  <x:si>
    <x:t xml:space="preserve">Gen_2030 [ton]</x:t>
  </x:si>
  <x:si>
    <x:t xml:space="preserve">R01</x:t>
  </x:si>
  <x:si>
    <x:t xml:space="preserve">Arica y Parinacota</x:t>
  </x:si>
  <x:si>
    <x:t xml:space="preserve">Arica</x:t>
  </x:si>
  <x:si>
    <x:t xml:space="preserve">R02</x:t>
  </x:si>
  <x:si>
    <x:t xml:space="preserve">Tarapacá</x:t>
  </x:si>
  <x:si>
    <x:t xml:space="preserve">Iquique</x:t>
  </x:si>
  <x:si>
    <x:t xml:space="preserve">R03</x:t>
  </x:si>
  <x:si>
    <x:t xml:space="preserve">Antofagasta</x:t>
  </x:si>
  <x:si>
    <x:t xml:space="preserve">R04</x:t>
  </x:si>
  <x:si>
    <x:t xml:space="preserve">Atacama</x:t>
  </x:si>
  <x:si>
    <x:t xml:space="preserve">Copiapó</x:t>
  </x:si>
  <x:si>
    <x:t xml:space="preserve">R05</x:t>
  </x:si>
  <x:si>
    <x:t xml:space="preserve">Coquimbo</x:t>
  </x:si>
  <x:si>
    <x:t xml:space="preserve">La Serena</x:t>
  </x:si>
  <x:si>
    <x:t xml:space="preserve">R06</x:t>
  </x:si>
  <x:si>
    <x:t xml:space="preserve">Valparaíso</x:t>
  </x:si>
  <x:si>
    <x:t xml:space="preserve">R07</x:t>
  </x:si>
  <x:si>
    <x:t xml:space="preserve">Metropolitana</x:t>
  </x:si>
  <x:si>
    <x:t xml:space="preserve">Santiago</x:t>
  </x:si>
  <x:si>
    <x:t xml:space="preserve">R08</x:t>
  </x:si>
  <x:si>
    <x:t xml:space="preserve">O'Higgins</x:t>
  </x:si>
  <x:si>
    <x:t xml:space="preserve">Rancagua</x:t>
  </x:si>
  <x:si>
    <x:t xml:space="preserve">R09</x:t>
  </x:si>
  <x:si>
    <x:t xml:space="preserve">Maule</x:t>
  </x:si>
  <x:si>
    <x:t xml:space="preserve">Talca</x:t>
  </x:si>
  <x:si>
    <x:t xml:space="preserve">R10</x:t>
  </x:si>
  <x:si>
    <x:t xml:space="preserve">Ñuble</x:t>
  </x:si>
  <x:si>
    <x:t xml:space="preserve">Chillán</x:t>
  </x:si>
  <x:si>
    <x:t xml:space="preserve">R11</x:t>
  </x:si>
  <x:si>
    <x:t xml:space="preserve">Biobío</x:t>
  </x:si>
  <x:si>
    <x:t xml:space="preserve">Concepción</x:t>
  </x:si>
  <x:si>
    <x:t xml:space="preserve">R12</x:t>
  </x:si>
  <x:si>
    <x:t xml:space="preserve">La Araucanía</x:t>
  </x:si>
  <x:si>
    <x:t xml:space="preserve">Temuco</x:t>
  </x:si>
  <x:si>
    <x:t xml:space="preserve">R13</x:t>
  </x:si>
  <x:si>
    <x:t xml:space="preserve">Los Ríos</x:t>
  </x:si>
  <x:si>
    <x:t xml:space="preserve">Valdivia</x:t>
  </x:si>
  <x:si>
    <x:t xml:space="preserve">R14</x:t>
  </x:si>
  <x:si>
    <x:t xml:space="preserve">Los Lagos</x:t>
  </x:si>
  <x:si>
    <x:t xml:space="preserve">Puerto Montt</x:t>
  </x:si>
  <x:si>
    <x:t xml:space="preserve">R15</x:t>
  </x:si>
  <x:si>
    <x:t xml:space="preserve">Aysén</x:t>
  </x:si>
  <x:si>
    <x:t xml:space="preserve">Coyhaique</x:t>
  </x:si>
  <x:si>
    <x:t xml:space="preserve">R16</x:t>
  </x:si>
  <x:si>
    <x:t xml:space="preserve">Magallanes</x:t>
  </x:si>
  <x:si>
    <x:t xml:space="preserve">Punta Arenas</x:t>
  </x:si>
  <x:si>
    <x:t xml:space="preserve">TOTAL</x:t>
  </x:si>
  <x:si>
    <x:t xml:space="preserve">Total Nacional Categoría A</x:t>
  </x:si>
  <x:si>
    <x:t xml:space="preserve">Chile (16 Regiones)</x:t>
  </x:si>
  <x:si>
    <x:t xml:space="preserve">Anio_t</x:t>
  </x:si>
  <x:si>
    <x:t xml:space="preserve">Meta_Recoleccion_mR [-]</x:t>
  </x:si>
  <x:si>
    <x:t xml:space="preserve">Meta_Valorizacion_mV [-]</x:t>
  </x:si>
  <x:si>
    <x:t xml:space="preserve">Cuota_Min_Material_alphaM [-]</x:t>
  </x:si>
  <x:si>
    <x:t xml:space="preserve">Penalizacion_muR [M$/ton]</x:t>
  </x:si>
  <x:si>
    <x:t xml:space="preserve">Penalizacion_muV [M$/ton]</x:t>
  </x:si>
  <x:si>
    <x:t xml:space="preserve">Penalizacion_muQ [M$/ton]</x:t>
  </x:si>
  <x:si>
    <x:t xml:space="preserve">ID_Centro</x:t>
  </x:si>
  <x:si>
    <x:t xml:space="preserve">Nombre_Centro</x:t>
  </x:si>
  <x:si>
    <x:t xml:space="preserve">Region_Sede</x:t>
  </x:si>
  <x:si>
    <x:t xml:space="preserve">Cap_Recepcion_aC [ton/año]</x:t>
  </x:si>
  <x:si>
    <x:t xml:space="preserve">Cap_Despacho_bC [ton/año]</x:t>
  </x:si>
  <x:si>
    <x:t xml:space="preserve">Limite_Sanitario_sM [ton]</x:t>
  </x:si>
  <x:si>
    <x:t xml:space="preserve">Inv_Inicial_s0 [ton]</x:t>
  </x:si>
  <x:si>
    <x:t xml:space="preserve">Costo_Fijo_Anual_cF [M$/año]</x:t>
  </x:si>
  <x:si>
    <x:t xml:space="preserve">Costo_Almacenaje_h [M$/ton-año]</x:t>
  </x:si>
  <x:si>
    <x:t xml:space="preserve">C1</x:t>
  </x:si>
  <x:si>
    <x:t xml:space="preserve">CA Iquique (Norte Grande)</x:t>
  </x:si>
  <x:si>
    <x:t xml:space="preserve">C2</x:t>
  </x:si>
  <x:si>
    <x:t xml:space="preserve">CA Antofagasta (Norte)</x:t>
  </x:si>
  <x:si>
    <x:t xml:space="preserve">C3</x:t>
  </x:si>
  <x:si>
    <x:t xml:space="preserve">CA Coquimbo (Norte Chico)</x:t>
  </x:si>
  <x:si>
    <x:t xml:space="preserve">C4</x:t>
  </x:si>
  <x:si>
    <x:t xml:space="preserve">CA Lampa (Metropolitana)</x:t>
  </x:si>
  <x:si>
    <x:t xml:space="preserve">C5</x:t>
  </x:si>
  <x:si>
    <x:t xml:space="preserve">CA Coronel (Biobío)</x:t>
  </x:si>
  <x:si>
    <x:t xml:space="preserve">C6</x:t>
  </x:si>
  <x:si>
    <x:t xml:space="preserve">CA Puerto Montt (Sur-Austral)</x:t>
  </x:si>
  <x:si>
    <x:t xml:space="preserve">ID_Planta</x:t>
  </x:si>
  <x:si>
    <x:t xml:space="preserve">Nombre_Planta</x:t>
  </x:si>
  <x:si>
    <x:t xml:space="preserve">Max_Lineas_nP [líneas]</x:t>
  </x:si>
  <x:si>
    <x:t xml:space="preserve">ID_Tecnologia</x:t>
  </x:si>
  <x:si>
    <x:t xml:space="preserve">Nombre_Tecnologia</x:t>
  </x:si>
  <x:si>
    <x:t xml:space="preserve">Categoria_DS8</x:t>
  </x:si>
  <x:si>
    <x:t xml:space="preserve">Factibilidad_epk [-]</x:t>
  </x:si>
  <x:si>
    <x:t xml:space="preserve">Cap_Tecnica [ton/año]</x:t>
  </x:si>
  <x:si>
    <x:t xml:space="preserve">Cap_Efectiva_aP [ton/año]</x:t>
  </x:si>
  <x:si>
    <x:t xml:space="preserve">Costo_Fijo_cP [M$/año]</x:t>
  </x:si>
  <x:si>
    <x:t xml:space="preserve">P1</x:t>
  </x:si>
  <x:si>
    <x:t xml:space="preserve">Planta Mejillones (Antofagasta)</x:t>
  </x:si>
  <x:si>
    <x:t xml:space="preserve">K1</x:t>
  </x:si>
  <x:si>
    <x:t xml:space="preserve">Recauchaje Industrial</x:t>
  </x:si>
  <x:si>
    <x:t xml:space="preserve">Material</x:t>
  </x:si>
  <x:si>
    <x:t xml:space="preserve">K2</x:t>
  </x:si>
  <x:si>
    <x:t xml:space="preserve">Trituración Mecánica (Caucho Granulado)</x:t>
  </x:si>
  <x:si>
    <x:t xml:space="preserve">K3</x:t>
  </x:si>
  <x:si>
    <x:t xml:space="preserve">Coprocesamiento en Horno Cementero</x:t>
  </x:si>
  <x:si>
    <x:t xml:space="preserve">Energetica</x:t>
  </x:si>
  <x:si>
    <x:t xml:space="preserve">K4</x:t>
  </x:si>
  <x:si>
    <x:t xml:space="preserve">Pirólisis (Recuperación Térmica / TDF)</x:t>
  </x:si>
  <x:si>
    <x:t xml:space="preserve">P2</x:t>
  </x:si>
  <x:si>
    <x:t xml:space="preserve">Planta La Calera (Valparaíso)</x:t>
  </x:si>
  <x:si>
    <x:t xml:space="preserve">P3</x:t>
  </x:si>
  <x:si>
    <x:t xml:space="preserve">Planta Tiltil / Polpaico (RM)</x:t>
  </x:si>
  <x:si>
    <x:t xml:space="preserve">P4</x:t>
  </x:si>
  <x:si>
    <x:t xml:space="preserve">Planta Teno (Maule)</x:t>
  </x:si>
  <x:si>
    <x:t xml:space="preserve">P5</x:t>
  </x:si>
  <x:si>
    <x:t xml:space="preserve">Planta Talcahuano (Biobío)</x:t>
  </x:si>
  <x:si>
    <x:t xml:space="preserve">Subconjunto_DS8</x:t>
  </x:si>
  <x:si>
    <x:t xml:space="preserve">Costo_Variable_cV [M$/ton]</x:t>
  </x:si>
  <x:si>
    <x:t xml:space="preserve">Tipo_Tramo</x:t>
  </x:si>
  <x:si>
    <x:t xml:space="preserve">Nodo_Origen</x:t>
  </x:si>
  <x:si>
    <x:t xml:space="preserve">Nodo_Destino</x:t>
  </x:si>
  <x:si>
    <x:t xml:space="preserve">Distancia_Ruta [km]</x:t>
  </x:si>
  <x:si>
    <x:t xml:space="preserve">Tarifa_Variable [M$/ton-km]</x:t>
  </x:si>
  <x:si>
    <x:t xml:space="preserve">Costo_Unitario [M$/ton]</x:t>
  </x:si>
  <x:si>
    <x:t xml:space="preserve">T1_Region_Centro</x:t>
  </x:si>
  <x:si>
    <x:t xml:space="preserve">T2_Centro_Planta</x:t>
  </x:si>
  <x:si>
    <x:t xml:space="preserve">T3_Region_Planta</x:t>
  </x:si>
</x:sst>
</file>

<file path=xl/styles.xml><?xml version="1.0" encoding="utf-8"?>
<x:styleSheet xmlns:x="http://schemas.openxmlformats.org/spreadsheetml/2006/main">
  <x:numFmts count="9">
    <x:numFmt numFmtId="164" formatCode="General"/>
    <x:numFmt numFmtId="165" formatCode="0.0%"/>
    <x:numFmt numFmtId="166" formatCode="#,##0.0"/>
    <x:numFmt numFmtId="167" formatCode="0"/>
    <x:numFmt numFmtId="168" formatCode="0.000"/>
    <x:numFmt numFmtId="169" formatCode="#,##0.00"/>
    <x:numFmt numFmtId="200" formatCode="0.0"/>
    <x:numFmt numFmtId="201" formatCode="#,##0"/>
    <x:numFmt numFmtId="202" formatCode="0.0000%"/>
  </x:numFmts>
  <x:fonts count="16">
    <x:font>
      <x:sz val="11"/>
      <x:color rgb="FF000000"/>
      <x:name val="Calibri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0"/>
      <x:color rgb="FFFFFFFF"/>
      <x:name val="Calibri"/>
    </x:font>
    <x:font>
      <x:sz val="10"/>
      <x:color rgb="FF1A202C"/>
      <x:name val="Calibri"/>
    </x:font>
    <x:font>
      <x:b/>
      <x:sz val="10"/>
      <x:color rgb="FF1A202C"/>
      <x:name val="Calibri"/>
    </x:font>
    <x:font>
      <x:b/>
      <x:sz val="18"/>
      <x:color rgb="FF000000"/>
      <x:name val="Calibri"/>
      <x:family val="2"/>
    </x:font>
    <x:font>
      <x:sz val="10"/>
      <x:color rgb="FF000000"/>
      <x:name val="Calibri"/>
      <x:family val="2"/>
    </x:font>
    <x:font>
      <x:b/>
      <x:sz val="10"/>
      <x:color rgb="FF000000"/>
      <x:name val="Calibri"/>
      <x:family val="2"/>
    </x:font>
    <x:font>
      <x:sz val="10"/>
      <x:color rgb="FF000000"/>
      <x:name val="Arial"/>
      <x:family val="2"/>
    </x:font>
    <x:font>
      <x:b/>
      <x:sz val="10"/>
      <x:color rgb="FFFFFFFF"/>
      <x:name val="Arial"/>
      <x:family val="2"/>
    </x:font>
    <x:font>
      <x:sz val="10"/>
      <x:color rgb="FF222222"/>
      <x:name val="Arial"/>
      <x:family val="2"/>
    </x:font>
    <x:font>
      <x:sz val="10"/>
      <x:color rgb="FF1F4E78"/>
      <x:name val="Arial"/>
      <x:family val="2"/>
    </x:font>
    <x:font>
      <x:sz val="10"/>
      <x:color rgb="FF666666"/>
      <x:name val="Arial"/>
      <x:family val="2"/>
    </x:font>
    <x:font>
      <x:b/>
      <x:sz val="10"/>
      <x:color rgb="FF222222"/>
      <x:name val="Arial"/>
      <x:family val="2"/>
    </x:font>
  </x:fonts>
  <x:fills count="9">
    <x:fill>
      <x:patternFill patternType="none"/>
    </x:fill>
    <x:fill>
      <x:patternFill patternType="gray125"/>
    </x:fill>
    <x:fill>
      <x:patternFill patternType="solid">
        <x:fgColor rgb="FF1B365D"/>
      </x:patternFill>
    </x:fill>
    <x:fill>
      <x:patternFill patternType="solid">
        <x:fgColor rgb="FFF4F7FA"/>
      </x:patternFill>
    </x:fill>
    <x:fill>
      <x:patternFill patternType="solid">
        <x:fgColor rgb="FFE6EEF8"/>
      </x:patternFill>
    </x:fill>
    <x:fill>
      <x:patternFill patternType="solid">
        <x:fgColor rgb="FF1C3557"/>
      </x:patternFill>
    </x:fill>
    <x:fill>
      <x:patternFill patternType="solid">
        <x:fgColor rgb="FFFFF2CC"/>
      </x:patternFill>
    </x:fill>
    <x:fill>
      <x:patternFill patternType="solid">
        <x:fgColor rgb="FF244062"/>
      </x:patternFill>
    </x:fill>
    <x:fill>
      <x:patternFill patternType="solid">
        <x:fgColor rgb="FFFFF2CC"/>
      </x:patternFill>
    </x:fill>
  </x:fills>
  <x:borders count="3">
    <x:border diagonalUp="0" diagonalDown="0">
      <x:left/>
      <x:right/>
      <x:top/>
      <x:bottom/>
      <x:diagonal/>
    </x:border>
    <x:border diagonalUp="0" diagonalDown="0">
      <x:left style="thin">
        <x:color rgb="FFCBD5E0"/>
      </x:left>
      <x:right style="thin">
        <x:color rgb="FFCBD5E0"/>
      </x:right>
      <x:top style="thin">
        <x:color rgb="FFCBD5E0"/>
      </x:top>
      <x:bottom style="thin">
        <x:color rgb="FFCBD5E0"/>
      </x:bottom>
      <x:diagonal/>
    </x:border>
    <x:border diagonalUp="0" diagonalDown="0">
      <x:left style="thin">
        <x:color rgb="FFCBD5E0"/>
      </x:left>
      <x:right style="thin">
        <x:color rgb="FFCBD5E0"/>
      </x:right>
      <x:top style="thin">
        <x:color rgb="FF1B365D"/>
      </x:top>
      <x:bottom style="double">
        <x:color rgb="FF1B365D"/>
      </x:bottom>
      <x:diagonal/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48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4" fillId="2" borderId="0" xfId="0" applyFont="1" applyBorder="0" applyAlignment="1" applyProtection="0">
      <x:alignment horizontal="left" vertical="center" wrapText="0" shrinkToFit="0"/>
      <x:protection locked="1" hidden="0"/>
    </x:xf>
    <x:xf numFmtId="164" fontId="4" fillId="2" borderId="0" xfId="0" applyFont="1" applyBorder="0" applyAlignment="1" applyProtection="0">
      <x:alignment horizontal="right" vertical="center" wrapText="0" shrinkToFit="0"/>
      <x:protection locked="1" hidden="0"/>
    </x:xf>
    <x:xf numFmtId="164" fontId="5" fillId="0" borderId="1" xfId="0" applyFont="1" applyBorder="1" applyAlignment="1" applyProtection="0">
      <x:alignment horizontal="left" vertical="center" wrapText="0" shrinkToFit="0"/>
      <x:protection locked="1" hidden="0"/>
    </x:xf>
    <x:xf numFmtId="165" fontId="5" fillId="0" borderId="1" xfId="0" applyFont="1" applyBorder="1" applyAlignment="1" applyProtection="0">
      <x:alignment horizontal="right" vertical="center" wrapText="0" shrinkToFit="0"/>
      <x:protection locked="1" hidden="0"/>
    </x:xf>
    <x:xf numFmtId="166" fontId="5" fillId="0" borderId="1" xfId="0" applyFont="1" applyBorder="1" applyAlignment="1" applyProtection="0">
      <x:alignment horizontal="right" vertical="center" wrapText="0" shrinkToFit="0"/>
      <x:protection locked="1" hidden="0"/>
    </x:xf>
    <x:xf numFmtId="164" fontId="5" fillId="3" borderId="1" xfId="0" applyFont="1" applyBorder="1" applyAlignment="1" applyProtection="0">
      <x:alignment horizontal="left" vertical="center" wrapText="0" shrinkToFit="0"/>
      <x:protection locked="1" hidden="0"/>
    </x:xf>
    <x:xf numFmtId="165" fontId="5" fillId="3" borderId="1" xfId="0" applyFont="1" applyBorder="1" applyAlignment="1" applyProtection="0">
      <x:alignment horizontal="right" vertical="center" wrapText="0" shrinkToFit="0"/>
      <x:protection locked="1" hidden="0"/>
    </x:xf>
    <x:xf numFmtId="166" fontId="5" fillId="3" borderId="1" xfId="0" applyFont="1" applyBorder="1" applyAlignment="1" applyProtection="0">
      <x:alignment horizontal="right" vertical="center" wrapText="0" shrinkToFit="0"/>
      <x:protection locked="1" hidden="0"/>
    </x:xf>
    <x:xf numFmtId="164" fontId="6" fillId="4" borderId="2" xfId="0" applyFont="1" applyBorder="1" applyAlignment="1" applyProtection="0">
      <x:alignment horizontal="left" vertical="center" wrapText="0" shrinkToFit="0"/>
      <x:protection locked="1" hidden="0"/>
    </x:xf>
    <x:xf numFmtId="165" fontId="6" fillId="4" borderId="2" xfId="0" applyFont="1" applyBorder="1" applyAlignment="1" applyProtection="0">
      <x:alignment horizontal="right" vertical="center" wrapText="0" shrinkToFit="0"/>
      <x:protection locked="1" hidden="0"/>
    </x:xf>
    <x:xf numFmtId="166" fontId="6" fillId="4" borderId="2" xfId="0" applyFont="1" applyBorder="1" applyAlignment="1" applyProtection="0">
      <x:alignment horizontal="right" vertical="center" wrapText="0" shrinkToFit="0"/>
      <x:protection locked="1" hidden="0"/>
    </x:xf>
    <x:xf numFmtId="167" fontId="5" fillId="0" borderId="1" xfId="0" applyFont="1" applyBorder="1" applyAlignment="1" applyProtection="0">
      <x:alignment horizontal="right" vertical="center" wrapText="0" shrinkToFit="0"/>
      <x:protection locked="1" hidden="0"/>
    </x:xf>
    <x:xf numFmtId="167" fontId="5" fillId="3" borderId="1" xfId="0" applyFont="1" applyBorder="1" applyAlignment="1" applyProtection="0">
      <x:alignment horizontal="right" vertical="center" wrapText="0" shrinkToFit="0"/>
      <x:protection locked="1" hidden="0"/>
    </x:xf>
    <x:xf numFmtId="168" fontId="5" fillId="0" borderId="1" xfId="0" applyFont="1" applyBorder="1" applyAlignment="1" applyProtection="0">
      <x:alignment horizontal="right" vertical="center" wrapText="0" shrinkToFit="0"/>
      <x:protection locked="1" hidden="0"/>
    </x:xf>
    <x:xf numFmtId="169" fontId="5" fillId="0" borderId="1" xfId="0" applyFont="1" applyBorder="1" applyAlignment="1" applyProtection="0">
      <x:alignment horizontal="right" vertical="center" wrapText="0" shrinkToFit="0"/>
      <x:protection locked="1" hidden="0"/>
    </x:xf>
    <x:xf numFmtId="164" fontId="10" fillId="0" borderId="0" xfId="0" applyNumberFormat="1" applyFont="1" applyFill="1" applyBorder="1" applyAlignment="1">
      <x:alignment horizontal="general" vertical="bottom" wrapText="0"/>
    </x:xf>
    <x:xf numFmtId="164" fontId="10" fillId="5" borderId="0" xfId="0" applyNumberFormat="1" applyFont="1" applyFill="1" applyBorder="1" applyAlignment="1">
      <x:alignment horizontal="general" vertical="bottom" wrapText="0"/>
    </x:xf>
    <x:xf numFmtId="164" fontId="11" fillId="5" borderId="0" xfId="0" applyNumberFormat="1" applyFont="1" applyFill="1" applyBorder="1" applyAlignment="1">
      <x:alignment horizontal="general" vertical="bottom" wrapText="0"/>
    </x:xf>
    <x:xf numFmtId="164" fontId="10" fillId="6" borderId="0" xfId="0" applyNumberFormat="1" applyFont="1" applyFill="1" applyBorder="1" applyAlignment="1">
      <x:alignment horizontal="general" vertical="bottom" wrapText="0"/>
    </x:xf>
    <x:xf numFmtId="200" fontId="10" fillId="6" borderId="0" xfId="0" applyNumberFormat="1" applyFont="1" applyFill="1" applyBorder="1" applyAlignment="1">
      <x:alignment horizontal="general" vertical="bottom" wrapText="0"/>
    </x:xf>
    <x:xf numFmtId="201" fontId="10" fillId="0" borderId="0" xfId="0" applyNumberFormat="1" applyFont="1" applyFill="1" applyBorder="1" applyAlignment="1">
      <x:alignment horizontal="general" vertical="bottom" wrapText="0"/>
    </x:xf>
    <x:xf numFmtId="166" fontId="5" fillId="0" borderId="1" xfId="0" applyNumberFormat="1" applyFont="1" applyFill="1" applyBorder="1" applyAlignment="1">
      <x:alignment horizontal="right" vertical="center" wrapText="0"/>
    </x:xf>
    <x:xf numFmtId="166" fontId="5" fillId="3" borderId="1" xfId="0" applyNumberFormat="1" applyFont="1" applyFill="1" applyBorder="1" applyAlignment="1">
      <x:alignment horizontal="right" vertical="center" wrapText="0"/>
    </x:xf>
    <x:xf numFmtId="201" fontId="0" fillId="0" borderId="0" xfId="0" applyNumberFormat="1" applyFont="1" applyFill="1" applyBorder="1" applyAlignment="1">
      <x:alignment horizontal="general" vertical="bottom" wrapText="0"/>
    </x:xf>
    <x:xf numFmtId="164" fontId="4" fillId="2" borderId="0" xfId="0" applyNumberFormat="1" applyFont="1" applyFill="1" applyBorder="1" applyAlignment="1">
      <x:alignment horizontal="right" vertical="center" wrapText="1"/>
    </x:xf>
    <x:xf numFmtId="202" fontId="5" fillId="0" borderId="1" xfId="0" applyNumberFormat="1" applyFont="1" applyFill="1" applyBorder="1" applyAlignment="1">
      <x:alignment horizontal="right" vertical="center" wrapText="0"/>
    </x:xf>
    <x:xf numFmtId="202" fontId="5" fillId="3" borderId="1" xfId="0" applyNumberFormat="1" applyFont="1" applyFill="1" applyBorder="1" applyAlignment="1">
      <x:alignment horizontal="right" vertical="center" wrapText="0"/>
    </x:xf>
    <x:xf numFmtId="202" fontId="6" fillId="4" borderId="2" xfId="0" applyNumberFormat="1" applyFont="1" applyFill="1" applyBorder="1" applyAlignment="1">
      <x:alignment horizontal="right" vertical="center" wrapText="0"/>
    </x:xf>
    <x:xf numFmtId="169" fontId="5" fillId="0" borderId="1" xfId="0" applyNumberFormat="1" applyFont="1" applyFill="1" applyBorder="1" applyAlignment="1">
      <x:alignment horizontal="right" vertical="center" wrapText="0"/>
    </x:xf>
    <x:xf numFmtId="169" fontId="5" fillId="3" borderId="1" xfId="0" applyNumberFormat="1" applyFont="1" applyFill="1" applyBorder="1" applyAlignment="1">
      <x:alignment horizontal="right" vertical="center" wrapText="0"/>
    </x:xf>
    <x:xf numFmtId="169" fontId="6" fillId="4" borderId="2" xfId="0" applyNumberFormat="1" applyFont="1" applyFill="1" applyBorder="1" applyAlignment="1">
      <x:alignment horizontal="right" vertical="center" wrapText="0"/>
    </x:xf>
    <x:xf numFmtId="164" fontId="12" fillId="0" borderId="0" xfId="0" applyNumberFormat="1" applyFont="1" applyFill="1" applyBorder="1" applyAlignment="1">
      <x:alignment horizontal="general" vertical="bottom" wrapText="0"/>
    </x:xf>
    <x:xf numFmtId="164" fontId="12" fillId="7" borderId="0" xfId="0" applyNumberFormat="1" applyFont="1" applyFill="1" applyBorder="1" applyAlignment="1">
      <x:alignment horizontal="general" vertical="bottom" wrapText="0"/>
    </x:xf>
    <x:xf numFmtId="164" fontId="11" fillId="7" borderId="0" xfId="0" applyNumberFormat="1" applyFont="1" applyFill="1" applyBorder="1" applyAlignment="1">
      <x:alignment horizontal="general" vertical="bottom" wrapText="0"/>
    </x:xf>
    <x:xf numFmtId="164" fontId="11" fillId="7" borderId="0" xfId="0" applyNumberFormat="1" applyFont="1" applyFill="1" applyBorder="1" applyAlignment="1">
      <x:alignment horizontal="general" vertical="bottom" wrapText="1"/>
    </x:xf>
    <x:xf numFmtId="164" fontId="11" fillId="7" borderId="0" xfId="0" applyNumberFormat="1" applyFont="1" applyFill="1" applyBorder="1" applyAlignment="1">
      <x:alignment horizontal="center" vertical="bottom" wrapText="1"/>
    </x:xf>
    <x:xf numFmtId="164" fontId="11" fillId="7" borderId="0" xfId="0" applyNumberFormat="1" applyFont="1" applyFill="1" applyBorder="1" applyAlignment="1">
      <x:alignment horizontal="center" vertical="center" wrapText="1"/>
    </x:xf>
    <x:xf numFmtId="164" fontId="12" fillId="8" borderId="0" xfId="0" applyNumberFormat="1" applyFont="1" applyFill="1" applyBorder="1" applyAlignment="1">
      <x:alignment horizontal="general" vertical="bottom" wrapText="0"/>
    </x:xf>
    <x:xf numFmtId="164" fontId="13" fillId="8" borderId="0" xfId="0" applyNumberFormat="1" applyFont="1" applyFill="1" applyBorder="1" applyAlignment="1">
      <x:alignment horizontal="general" vertical="bottom" wrapText="0"/>
    </x:xf>
    <x:xf numFmtId="201" fontId="13" fillId="8" borderId="0" xfId="0" applyNumberFormat="1" applyFont="1" applyFill="1" applyBorder="1" applyAlignment="1">
      <x:alignment horizontal="general" vertical="bottom" wrapText="0"/>
    </x:xf>
    <x:xf numFmtId="165" fontId="13" fillId="8" borderId="0" xfId="0" applyNumberFormat="1" applyFont="1" applyFill="1" applyBorder="1" applyAlignment="1">
      <x:alignment horizontal="general" vertical="bottom" wrapText="0"/>
    </x:xf>
    <x:xf numFmtId="167" fontId="13" fillId="8" borderId="0" xfId="0" applyNumberFormat="1" applyFont="1" applyFill="1" applyBorder="1" applyAlignment="1">
      <x:alignment horizontal="general" vertical="bottom" wrapText="0"/>
    </x:xf>
    <x:xf numFmtId="167" fontId="12" fillId="0" borderId="0" xfId="0" applyNumberFormat="1" applyFont="1" applyFill="1" applyBorder="1" applyAlignment="1">
      <x:alignment horizontal="general" vertical="bottom" wrapText="0"/>
    </x:xf>
    <x:xf numFmtId="169" fontId="12" fillId="0" borderId="0" xfId="0" applyNumberFormat="1" applyFont="1" applyFill="1" applyBorder="1" applyAlignment="1">
      <x:alignment horizontal="general" vertical="bottom" wrapText="0"/>
    </x:xf>
    <x:xf numFmtId="165" fontId="12" fillId="0" borderId="0" xfId="0" applyNumberFormat="1" applyFont="1" applyFill="1" applyBorder="1" applyAlignment="1">
      <x:alignment horizontal="general" vertical="bottom" wrapText="0"/>
    </x:xf>
    <x:xf numFmtId="164" fontId="14" fillId="0" borderId="0" xfId="0" applyNumberFormat="1" applyFont="1" applyFill="1" applyBorder="1" applyAlignment="1">
      <x:alignment horizontal="general" vertical="bottom" wrapText="0"/>
    </x:xf>
    <x:xf numFmtId="164" fontId="15" fillId="0" borderId="0" xfId="0" applyNumberFormat="1" applyFont="1" applyFill="1" applyBorder="1" applyAlignment="1">
      <x:alignment horizontal="general" vertical="bottom" wrapText="0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D9D9D9"/>
      <x:rgbColor rgb="FF878787"/>
      <x:rgbColor rgb="FF9999FF"/>
      <x:rgbColor rgb="FFC0504D"/>
      <x:rgbColor rgb="FFF9F9F9"/>
      <x:rgbColor rgb="FFE6EEF8"/>
      <x:rgbColor rgb="FF660066"/>
      <x:rgbColor rgb="FFFF8080"/>
      <x:rgbColor rgb="FF0066CC"/>
      <x:rgbColor rgb="FFCBD5E0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F4F7FA"/>
      <x:rgbColor rgb="FFCCFFCC"/>
      <x:rgbColor rgb="FFFFFF99"/>
      <x:rgbColor rgb="FF99CCFF"/>
      <x:rgbColor rgb="FFFF99CC"/>
      <x:rgbColor rgb="FFCC99FF"/>
      <x:rgbColor rgb="FFFFCC99"/>
      <x:rgbColor rgb="FF4F81BD"/>
      <x:rgbColor rgb="FF4BACC6"/>
      <x:rgbColor rgb="FF9BBB59"/>
      <x:rgbColor rgb="FFFFCC00"/>
      <x:rgbColor rgb="FFFF9900"/>
      <x:rgbColor rgb="FFFF6600"/>
      <x:rgbColor rgb="FF8064A2"/>
      <x:rgbColor rgb="FF969696"/>
      <x:rgbColor rgb="FF1B365D"/>
      <x:rgbColor rgb="FF339966"/>
      <x:rgbColor rgb="FF003300"/>
      <x:rgbColor rgb="FF333300"/>
      <x:rgbColor rgb="FF993300"/>
      <x:rgbColor rgb="FF993366"/>
      <x:rgbColor rgb="FF333399"/>
      <x:rgbColor rgb="FF1A202C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5d140ed31b4bba" /><Relationship Type="http://schemas.openxmlformats.org/officeDocument/2006/relationships/theme" Target="/xl/theme/theme1.xml" Id="Rf85f04ed0141482a" /><Relationship Type="http://schemas.openxmlformats.org/officeDocument/2006/relationships/sharedStrings" Target="/xl/sharedStrings.xml" Id="R5c2a59a3ecc44d33" /><Relationship Type="http://schemas.openxmlformats.org/officeDocument/2006/relationships/worksheet" Target="/xl/worksheets/sheet1.xml" Id="R9595d8fdf78c4560" /><Relationship Type="http://schemas.openxmlformats.org/officeDocument/2006/relationships/worksheet" Target="/xl/worksheets/sheet2.xml" Id="R076c4973da86418f" /><Relationship Type="http://schemas.openxmlformats.org/officeDocument/2006/relationships/worksheet" Target="/xl/worksheets/sheet3.xml" Id="R1d37b0d379114372" /><Relationship Type="http://schemas.openxmlformats.org/officeDocument/2006/relationships/worksheet" Target="/xl/worksheets/sheet4.xml" Id="R63f9be522a2843cc" /><Relationship Type="http://schemas.openxmlformats.org/officeDocument/2006/relationships/worksheet" Target="/xl/worksheets/sheet5.xml" Id="R720631187b7d467e" /><Relationship Type="http://schemas.openxmlformats.org/officeDocument/2006/relationships/worksheet" Target="/xl/worksheets/sheet6.xml" Id="R01218b61f073475e" /><Relationship Type="http://schemas.openxmlformats.org/officeDocument/2006/relationships/worksheet" Target="/xl/worksheets/sheet7.xml" Id="Rdc060561aa164565" /><Relationship Type="http://schemas.openxmlformats.org/officeDocument/2006/relationships/worksheet" Target="/xl/worksheets/sheet8.xml" Id="R2a00ce076b5641d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547e8dd015b45d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Generación Regional de NFU Categoría A (2026-2030)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Regiones_Generacion!F1</c:f>
              <c:strCache>
                <c:ptCount val="1"/>
                <c:pt idx="0">
                  <c:v>Gen_2026 [ton]</c:v>
                </c:pt>
              </c:strCache>
            </c:strRef>
          </c:tx>
          <c:spPr>
            <a:solidFill xmlns:a="http://schemas.openxmlformats.org/drawingml/2006/main">
              <a:srgbClr val="4F81BD"/>
            </a:solidFill>
            <a:ln xmlns:a="http://schemas.openxmlformats.org/drawingml/2006/main" w="9360">
              <a:solidFill>
                <a:srgbClr val="F9F9F9"/>
              </a:solidFill>
            </a:ln>
          </c:spPr>
          <c:invertIfNegative val="0"/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Regiones_Generacion!$A$2:$A$17</c:f>
              <c:strCache>
                <c:ptCount val="16"/>
                <c:pt idx="0">
                  <c:v>R01</c:v>
                </c:pt>
                <c:pt idx="1">
                  <c:v>R02</c:v>
                </c:pt>
                <c:pt idx="2">
                  <c:v>R03</c:v>
                </c:pt>
                <c:pt idx="3">
                  <c:v>R04</c:v>
                </c:pt>
                <c:pt idx="4">
                  <c:v>R05</c:v>
                </c:pt>
                <c:pt idx="5">
                  <c:v>R06</c:v>
                </c:pt>
                <c:pt idx="6">
                  <c:v>R07</c:v>
                </c:pt>
                <c:pt idx="7">
                  <c:v>R08</c:v>
                </c:pt>
                <c:pt idx="8">
                  <c:v>R09</c:v>
                </c:pt>
                <c:pt idx="9">
                  <c:v>R10</c:v>
                </c:pt>
                <c:pt idx="10">
                  <c:v>R11</c:v>
                </c:pt>
                <c:pt idx="11">
                  <c:v>R12</c:v>
                </c:pt>
                <c:pt idx="12">
                  <c:v>R13</c:v>
                </c:pt>
                <c:pt idx="13">
                  <c:v>R14</c:v>
                </c:pt>
                <c:pt idx="14">
                  <c:v>R15</c:v>
                </c:pt>
                <c:pt idx="15">
                  <c:v>R16</c:v>
                </c:pt>
              </c:strCache>
            </c:strRef>
          </c:cat>
          <c:val>
            <c:numRef>
              <c:f>Regiones_Generacion!$F$2:$F$17</c:f>
              <c:numCache>
                <c:formatCode>General</c:formatCode>
                <c:ptCount val="16"/>
                <c:pt idx="0">
                  <c:v>1078</c:v>
                </c:pt>
                <c:pt idx="1">
                  <c:v>1848</c:v>
                </c:pt>
                <c:pt idx="2">
                  <c:v>3696</c:v>
                </c:pt>
                <c:pt idx="3">
                  <c:v>3850</c:v>
                </c:pt>
                <c:pt idx="4">
                  <c:v>3234</c:v>
                </c:pt>
                <c:pt idx="5">
                  <c:v>7238</c:v>
                </c:pt>
                <c:pt idx="6">
                  <c:v>23562</c:v>
                </c:pt>
                <c:pt idx="7">
                  <c:v>5390</c:v>
                </c:pt>
                <c:pt idx="8">
                  <c:v>6468</c:v>
                </c:pt>
                <c:pt idx="9">
                  <c:v>2464</c:v>
                </c:pt>
                <c:pt idx="10">
                  <c:v>6468</c:v>
                </c:pt>
                <c:pt idx="11">
                  <c:v>4004</c:v>
                </c:pt>
                <c:pt idx="12">
                  <c:v>1694</c:v>
                </c:pt>
                <c:pt idx="13">
                  <c:v>4158</c:v>
                </c:pt>
                <c:pt idx="14">
                  <c:v>770</c:v>
                </c:pt>
                <c:pt idx="15">
                  <c:v>1078</c:v>
                </c:pt>
              </c:numCache>
            </c:numRef>
          </c:val>
        </c:ser>
        <c:ser>
          <c:idx val="1"/>
          <c:order val="1"/>
          <c:tx>
            <c:strRef>
              <c:f>Regiones_Generacion!G1</c:f>
              <c:strCache>
                <c:ptCount val="1"/>
                <c:pt idx="0">
                  <c:v>Gen_2027 [ton]</c:v>
                </c:pt>
              </c:strCache>
            </c:strRef>
          </c:tx>
          <c:spPr>
            <a:solidFill xmlns:a="http://schemas.openxmlformats.org/drawingml/2006/main">
              <a:srgbClr val="C0504D"/>
            </a:solidFill>
            <a:ln xmlns:a="http://schemas.openxmlformats.org/drawingml/2006/main" w="9360">
              <a:solidFill>
                <a:srgbClr val="F9F9F9"/>
              </a:solidFill>
            </a:ln>
          </c:spPr>
          <c:invertIfNegative val="0"/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Regiones_Generacion!$A$2:$A$17</c:f>
              <c:strCache>
                <c:ptCount val="16"/>
                <c:pt idx="0">
                  <c:v>R01</c:v>
                </c:pt>
                <c:pt idx="1">
                  <c:v>R02</c:v>
                </c:pt>
                <c:pt idx="2">
                  <c:v>R03</c:v>
                </c:pt>
                <c:pt idx="3">
                  <c:v>R04</c:v>
                </c:pt>
                <c:pt idx="4">
                  <c:v>R05</c:v>
                </c:pt>
                <c:pt idx="5">
                  <c:v>R06</c:v>
                </c:pt>
                <c:pt idx="6">
                  <c:v>R07</c:v>
                </c:pt>
                <c:pt idx="7">
                  <c:v>R08</c:v>
                </c:pt>
                <c:pt idx="8">
                  <c:v>R09</c:v>
                </c:pt>
                <c:pt idx="9">
                  <c:v>R10</c:v>
                </c:pt>
                <c:pt idx="10">
                  <c:v>R11</c:v>
                </c:pt>
                <c:pt idx="11">
                  <c:v>R12</c:v>
                </c:pt>
                <c:pt idx="12">
                  <c:v>R13</c:v>
                </c:pt>
                <c:pt idx="13">
                  <c:v>R14</c:v>
                </c:pt>
                <c:pt idx="14">
                  <c:v>R15</c:v>
                </c:pt>
                <c:pt idx="15">
                  <c:v>R16</c:v>
                </c:pt>
              </c:strCache>
            </c:strRef>
          </c:cat>
          <c:val>
            <c:numRef>
              <c:f>Regiones_Generacion!$G$2:$G$17</c:f>
              <c:numCache>
                <c:formatCode>General</c:formatCode>
                <c:ptCount val="16"/>
                <c:pt idx="0">
                  <c:v>1104.95</c:v>
                </c:pt>
                <c:pt idx="1">
                  <c:v>1894.2</c:v>
                </c:pt>
                <c:pt idx="2">
                  <c:v>3788.4</c:v>
                </c:pt>
                <c:pt idx="3">
                  <c:v>3946.25</c:v>
                </c:pt>
                <c:pt idx="4">
                  <c:v>3314.85</c:v>
                </c:pt>
                <c:pt idx="5">
                  <c:v>7418.95</c:v>
                </c:pt>
                <c:pt idx="6">
                  <c:v>24151.05</c:v>
                </c:pt>
                <c:pt idx="7">
                  <c:v>5524.75</c:v>
                </c:pt>
                <c:pt idx="8">
                  <c:v>6629.7</c:v>
                </c:pt>
                <c:pt idx="9">
                  <c:v>2525.6</c:v>
                </c:pt>
                <c:pt idx="10">
                  <c:v>6629.7</c:v>
                </c:pt>
                <c:pt idx="11">
                  <c:v>4104.1</c:v>
                </c:pt>
                <c:pt idx="12">
                  <c:v>1736.35</c:v>
                </c:pt>
                <c:pt idx="13">
                  <c:v>4261.95</c:v>
                </c:pt>
                <c:pt idx="14">
                  <c:v>789.25</c:v>
                </c:pt>
                <c:pt idx="15">
                  <c:v>1104.95</c:v>
                </c:pt>
              </c:numCache>
            </c:numRef>
          </c:val>
        </c:ser>
        <c:ser>
          <c:idx val="2"/>
          <c:order val="2"/>
          <c:tx>
            <c:strRef>
              <c:f>Regiones_Generacion!H1</c:f>
              <c:strCache>
                <c:ptCount val="1"/>
                <c:pt idx="0">
                  <c:v>Gen_2028 [ton]</c:v>
                </c:pt>
              </c:strCache>
            </c:strRef>
          </c:tx>
          <c:spPr>
            <a:solidFill xmlns:a="http://schemas.openxmlformats.org/drawingml/2006/main">
              <a:srgbClr val="9BBB59"/>
            </a:solidFill>
            <a:ln xmlns:a="http://schemas.openxmlformats.org/drawingml/2006/main" w="9360">
              <a:solidFill>
                <a:srgbClr val="F9F9F9"/>
              </a:solidFill>
            </a:ln>
          </c:spPr>
          <c:invertIfNegative val="0"/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Regiones_Generacion!$A$2:$A$17</c:f>
              <c:strCache>
                <c:ptCount val="16"/>
                <c:pt idx="0">
                  <c:v>R01</c:v>
                </c:pt>
                <c:pt idx="1">
                  <c:v>R02</c:v>
                </c:pt>
                <c:pt idx="2">
                  <c:v>R03</c:v>
                </c:pt>
                <c:pt idx="3">
                  <c:v>R04</c:v>
                </c:pt>
                <c:pt idx="4">
                  <c:v>R05</c:v>
                </c:pt>
                <c:pt idx="5">
                  <c:v>R06</c:v>
                </c:pt>
                <c:pt idx="6">
                  <c:v>R07</c:v>
                </c:pt>
                <c:pt idx="7">
                  <c:v>R08</c:v>
                </c:pt>
                <c:pt idx="8">
                  <c:v>R09</c:v>
                </c:pt>
                <c:pt idx="9">
                  <c:v>R10</c:v>
                </c:pt>
                <c:pt idx="10">
                  <c:v>R11</c:v>
                </c:pt>
                <c:pt idx="11">
                  <c:v>R12</c:v>
                </c:pt>
                <c:pt idx="12">
                  <c:v>R13</c:v>
                </c:pt>
                <c:pt idx="13">
                  <c:v>R14</c:v>
                </c:pt>
                <c:pt idx="14">
                  <c:v>R15</c:v>
                </c:pt>
                <c:pt idx="15">
                  <c:v>R16</c:v>
                </c:pt>
              </c:strCache>
            </c:strRef>
          </c:cat>
          <c:val>
            <c:numRef>
              <c:f>Regiones_Generacion!$H$2:$H$17</c:f>
              <c:numCache>
                <c:formatCode>General</c:formatCode>
                <c:ptCount val="16"/>
                <c:pt idx="0">
                  <c:v>1132.57</c:v>
                </c:pt>
                <c:pt idx="1">
                  <c:v>1941.55</c:v>
                </c:pt>
                <c:pt idx="2">
                  <c:v>3883.11</c:v>
                </c:pt>
                <c:pt idx="3">
                  <c:v>4044.91</c:v>
                </c:pt>
                <c:pt idx="4">
                  <c:v>3397.72</c:v>
                </c:pt>
                <c:pt idx="5">
                  <c:v>7604.42</c:v>
                </c:pt>
                <c:pt idx="6">
                  <c:v>24754.82</c:v>
                </c:pt>
                <c:pt idx="7">
                  <c:v>5662.87</c:v>
                </c:pt>
                <c:pt idx="8">
                  <c:v>6795.44</c:v>
                </c:pt>
                <c:pt idx="9">
                  <c:v>2588.74</c:v>
                </c:pt>
                <c:pt idx="10">
                  <c:v>6795.44</c:v>
                </c:pt>
                <c:pt idx="11">
                  <c:v>4206.7</c:v>
                </c:pt>
                <c:pt idx="12">
                  <c:v>1779.76</c:v>
                </c:pt>
                <c:pt idx="13">
                  <c:v>4368.5</c:v>
                </c:pt>
                <c:pt idx="14">
                  <c:v>808.98</c:v>
                </c:pt>
                <c:pt idx="15">
                  <c:v>1132.57</c:v>
                </c:pt>
              </c:numCache>
            </c:numRef>
          </c:val>
        </c:ser>
        <c:ser>
          <c:idx val="3"/>
          <c:order val="3"/>
          <c:tx>
            <c:strRef>
              <c:f>Regiones_Generacion!I1</c:f>
              <c:strCache>
                <c:ptCount val="1"/>
                <c:pt idx="0">
                  <c:v>Gen_2029 [ton]</c:v>
                </c:pt>
              </c:strCache>
            </c:strRef>
          </c:tx>
          <c:spPr>
            <a:solidFill xmlns:a="http://schemas.openxmlformats.org/drawingml/2006/main">
              <a:srgbClr val="8064A2"/>
            </a:solidFill>
            <a:ln xmlns:a="http://schemas.openxmlformats.org/drawingml/2006/main" w="9360">
              <a:solidFill>
                <a:srgbClr val="F9F9F9"/>
              </a:solidFill>
            </a:ln>
          </c:spPr>
          <c:invertIfNegative val="0"/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Regiones_Generacion!$A$2:$A$17</c:f>
              <c:strCache>
                <c:ptCount val="16"/>
                <c:pt idx="0">
                  <c:v>R01</c:v>
                </c:pt>
                <c:pt idx="1">
                  <c:v>R02</c:v>
                </c:pt>
                <c:pt idx="2">
                  <c:v>R03</c:v>
                </c:pt>
                <c:pt idx="3">
                  <c:v>R04</c:v>
                </c:pt>
                <c:pt idx="4">
                  <c:v>R05</c:v>
                </c:pt>
                <c:pt idx="5">
                  <c:v>R06</c:v>
                </c:pt>
                <c:pt idx="6">
                  <c:v>R07</c:v>
                </c:pt>
                <c:pt idx="7">
                  <c:v>R08</c:v>
                </c:pt>
                <c:pt idx="8">
                  <c:v>R09</c:v>
                </c:pt>
                <c:pt idx="9">
                  <c:v>R10</c:v>
                </c:pt>
                <c:pt idx="10">
                  <c:v>R11</c:v>
                </c:pt>
                <c:pt idx="11">
                  <c:v>R12</c:v>
                </c:pt>
                <c:pt idx="12">
                  <c:v>R13</c:v>
                </c:pt>
                <c:pt idx="13">
                  <c:v>R14</c:v>
                </c:pt>
                <c:pt idx="14">
                  <c:v>R15</c:v>
                </c:pt>
                <c:pt idx="15">
                  <c:v>R16</c:v>
                </c:pt>
              </c:strCache>
            </c:strRef>
          </c:cat>
          <c:val>
            <c:numRef>
              <c:f>Regiones_Generacion!$I$2:$I$17</c:f>
              <c:numCache>
                <c:formatCode>General</c:formatCode>
                <c:ptCount val="16"/>
                <c:pt idx="0">
                  <c:v>1160.89</c:v>
                </c:pt>
                <c:pt idx="1">
                  <c:v>1990.09</c:v>
                </c:pt>
                <c:pt idx="2">
                  <c:v>3980.19</c:v>
                </c:pt>
                <c:pt idx="3">
                  <c:v>4146.03</c:v>
                </c:pt>
                <c:pt idx="4">
                  <c:v>3482.66</c:v>
                </c:pt>
                <c:pt idx="5">
                  <c:v>7794.53</c:v>
                </c:pt>
                <c:pt idx="6">
                  <c:v>25373.7</c:v>
                </c:pt>
                <c:pt idx="7">
                  <c:v>5804.44</c:v>
                </c:pt>
                <c:pt idx="8">
                  <c:v>6965.33</c:v>
                </c:pt>
                <c:pt idx="9">
                  <c:v>2653.46</c:v>
                </c:pt>
                <c:pt idx="10">
                  <c:v>6965.33</c:v>
                </c:pt>
                <c:pt idx="11">
                  <c:v>4311.87</c:v>
                </c:pt>
                <c:pt idx="12">
                  <c:v>1824.25</c:v>
                </c:pt>
                <c:pt idx="13">
                  <c:v>4477.71</c:v>
                </c:pt>
                <c:pt idx="14">
                  <c:v>829.21</c:v>
                </c:pt>
                <c:pt idx="15">
                  <c:v>1160.89</c:v>
                </c:pt>
              </c:numCache>
            </c:numRef>
          </c:val>
        </c:ser>
        <c:ser>
          <c:idx val="4"/>
          <c:order val="4"/>
          <c:tx>
            <c:strRef>
              <c:f>Regiones_Generacion!J1</c:f>
              <c:strCache>
                <c:ptCount val="1"/>
                <c:pt idx="0">
                  <c:v>Gen_2030 [ton]</c:v>
                </c:pt>
              </c:strCache>
            </c:strRef>
          </c:tx>
          <c:spPr>
            <a:solidFill xmlns:a="http://schemas.openxmlformats.org/drawingml/2006/main">
              <a:srgbClr val="4BACC6"/>
            </a:solidFill>
            <a:ln xmlns:a="http://schemas.openxmlformats.org/drawingml/2006/main" w="9360">
              <a:solidFill>
                <a:srgbClr val="F9F9F9"/>
              </a:solidFill>
            </a:ln>
          </c:spPr>
          <c:invertIfNegative val="0"/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Regiones_Generacion!$A$2:$A$17</c:f>
              <c:strCache>
                <c:ptCount val="16"/>
                <c:pt idx="0">
                  <c:v>R01</c:v>
                </c:pt>
                <c:pt idx="1">
                  <c:v>R02</c:v>
                </c:pt>
                <c:pt idx="2">
                  <c:v>R03</c:v>
                </c:pt>
                <c:pt idx="3">
                  <c:v>R04</c:v>
                </c:pt>
                <c:pt idx="4">
                  <c:v>R05</c:v>
                </c:pt>
                <c:pt idx="5">
                  <c:v>R06</c:v>
                </c:pt>
                <c:pt idx="6">
                  <c:v>R07</c:v>
                </c:pt>
                <c:pt idx="7">
                  <c:v>R08</c:v>
                </c:pt>
                <c:pt idx="8">
                  <c:v>R09</c:v>
                </c:pt>
                <c:pt idx="9">
                  <c:v>R10</c:v>
                </c:pt>
                <c:pt idx="10">
                  <c:v>R11</c:v>
                </c:pt>
                <c:pt idx="11">
                  <c:v>R12</c:v>
                </c:pt>
                <c:pt idx="12">
                  <c:v>R13</c:v>
                </c:pt>
                <c:pt idx="13">
                  <c:v>R14</c:v>
                </c:pt>
                <c:pt idx="14">
                  <c:v>R15</c:v>
                </c:pt>
                <c:pt idx="15">
                  <c:v>R16</c:v>
                </c:pt>
              </c:strCache>
            </c:strRef>
          </c:cat>
          <c:val>
            <c:numRef>
              <c:f>Regiones_Generacion!$J$2:$J$17</c:f>
              <c:numCache>
                <c:formatCode>General</c:formatCode>
                <c:ptCount val="16"/>
                <c:pt idx="0">
                  <c:v>1189.91</c:v>
                </c:pt>
                <c:pt idx="1">
                  <c:v>2039.85</c:v>
                </c:pt>
                <c:pt idx="2">
                  <c:v>4079.69</c:v>
                </c:pt>
                <c:pt idx="3">
                  <c:v>4249.68</c:v>
                </c:pt>
                <c:pt idx="4">
                  <c:v>3569.73</c:v>
                </c:pt>
                <c:pt idx="5">
                  <c:v>7989.4</c:v>
                </c:pt>
                <c:pt idx="6">
                  <c:v>26008.04</c:v>
                </c:pt>
                <c:pt idx="7">
                  <c:v>5949.55</c:v>
                </c:pt>
                <c:pt idx="8">
                  <c:v>7139.46</c:v>
                </c:pt>
                <c:pt idx="9">
                  <c:v>2719.79</c:v>
                </c:pt>
                <c:pt idx="10">
                  <c:v>7139.46</c:v>
                </c:pt>
                <c:pt idx="11">
                  <c:v>4419.67</c:v>
                </c:pt>
                <c:pt idx="12">
                  <c:v>1869.86</c:v>
                </c:pt>
                <c:pt idx="13">
                  <c:v>4589.65</c:v>
                </c:pt>
                <c:pt idx="14">
                  <c:v>849.94</c:v>
                </c:pt>
                <c:pt idx="15">
                  <c:v>1189.91</c:v>
                </c:pt>
              </c:numCache>
            </c:numRef>
          </c:val>
        </c:ser>
        <c:gapWidth val="150"/>
        <c:overlap val="0"/>
        <c:axId val="99699779"/>
        <c:axId val="24000537"/>
      </c:barChart>
      <c:catAx>
        <c:axId val="99699779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Región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24000537"/>
        <c:crosses val="autoZero"/>
        <c:lblAlgn val="ctr"/>
        <c:noMultiLvlLbl val="0"/>
        <c:lblOffset val="100"/>
      </c:catAx>
      <c:valAx>
        <c:axId val="24000537"/>
        <c:scaling>
          <c:orientation val="minMax"/>
        </c:scaling>
        <c:delete val="0"/>
        <c:axPos val="l"/>
        <c:majorGridlines>
          <c:spPr>
            <a:ln xmlns:a="http://schemas.openxmlformats.org/drawingml/2006/main" w="9360">
              <a:solidFill>
                <a:srgbClr val="878787"/>
              </a:solidFill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Toneladas [ton/año]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#,##0.0" sourceLinked="1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99699779"/>
        <c:crosses val="autoZero"/>
        <c:crossBetween val="between"/>
      </c:valAx>
      <c:spPr>
        <a:noFill xmlns:a="http://schemas.openxmlformats.org/drawingml/2006/main"/>
        <a:ln xmlns:a="http://schemas.openxmlformats.org/drawingml/2006/main" w="0">
          <a:noFill/>
        </a:ln>
      </c:spPr>
    </c:plotArea>
    <c:legend>
      <c:legendPos val="r"/>
      <c:overlay val="0"/>
      <c:spPr>
        <a:noFill xmlns:a="http://schemas.openxmlformats.org/drawingml/2006/main"/>
        <a:ln xmlns:a="http://schemas.openxmlformats.org/drawingml/2006/main" w="0">
          <a:noFill/>
        </a:ln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4</xdr:col>
      <xdr:colOff>417960</xdr:colOff>
      <xdr:row>38</xdr:row>
      <xdr:rowOff>170640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47e8dd015b45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5d89c99301b4670" /></Relationships>
</file>

<file path=xl/worksheets/sheet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" hidden="0" customWidth="1"/>
    <x:col min="2" max="2" width="30" hidden="0" customWidth="1"/>
    <x:col min="3" max="3" width="23" hidden="0" customWidth="1"/>
    <x:col min="4" max="4" width="20" hidden="0" customWidth="1"/>
    <x:col min="5" max="5" width="28" hidden="0" customWidth="1"/>
    <x:col min="6" max="10" width="18" hidden="0" customWidth="1"/>
    <x:col min="11" max="11" width="22" hidden="0" customWidth="1"/>
  </x:cols>
  <x:sheetData>
    <x:row r="1" ht="24" hidden="0" customHeight="1">
      <x:c r="A1" s="1" t="s">
        <x:v>0</x:v>
      </x:c>
      <x:c r="B1" s="1" t="s">
        <x:v>1</x:v>
      </x:c>
      <x:c r="C1" s="1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5" t="str">
        <x:v>Vehiculos_2024 [veh]</x:v>
      </x:c>
    </x:row>
    <x:row r="2" ht="15" hidden="0">
      <x:c r="A2" s="3" t="s">
        <x:v>10</x:v>
      </x:c>
      <x:c r="B2" s="3" t="s">
        <x:v>11</x:v>
      </x:c>
      <x:c r="C2" s="3" t="s">
        <x:v>12</x:v>
      </x:c>
      <x:c r="D2" s="4" t="n">
        <x:v>0.006999999999999999</x:v>
      </x:c>
      <x:c r="E2" s="26" t="n">
        <x:f>K2/SUM($K$2:$K$17)</x:f>
        <x:v>0.013899087293166629</x:v>
      </x:c>
      <x:c r="F2" s="29" t="n">
        <x:f>$E2*'Oferta_Base'!$B$2</x:f>
        <x:v>2049.0034487586245</x:v>
      </x:c>
      <x:c r="G2" s="29" t="n">
        <x:f>$E2*'Oferta_Base'!$B$3</x:f>
        <x:v>2100.2285349775902</x:v>
      </x:c>
      <x:c r="H2" s="29" t="n">
        <x:f>$E2*'Oferta_Base'!$B$4</x:f>
        <x:v>2152.7342483520297</x:v>
      </x:c>
      <x:c r="I2" s="29" t="n">
        <x:f>$E2*'Oferta_Base'!$B$5</x:f>
        <x:v>2206.55260456083</x:v>
      </x:c>
      <x:c r="J2" s="29" t="n">
        <x:f>$E2*'Oferta_Base'!$B$6</x:f>
        <x:v>2261.7164196748504</x:v>
      </x:c>
      <x:c r="K2" s="24" t="n">
        <x:v>91634</x:v>
      </x:c>
    </x:row>
    <x:row r="3" ht="15" hidden="0">
      <x:c r="A3" s="6" t="s">
        <x:v>13</x:v>
      </x:c>
      <x:c r="B3" s="6" t="s">
        <x:v>14</x:v>
      </x:c>
      <x:c r="C3" s="6" t="s">
        <x:v>15</x:v>
      </x:c>
      <x:c r="D3" s="7" t="n">
        <x:v>0.012</x:v>
      </x:c>
      <x:c r="E3" s="27" t="n">
        <x:f>K3/SUM($K$2:$K$17)</x:f>
        <x:v>0.02503789357097819</x:v>
      </x:c>
      <x:c r="F3" s="30" t="n">
        <x:f>$E3*'Oferta_Base'!$B$2</x:f>
        <x:v>3691.086270233605</x:v>
      </x:c>
      <x:c r="G3" s="30" t="n">
        <x:f>$E3*'Oferta_Base'!$B$3</x:f>
        <x:v>3783.363426989445</x:v>
      </x:c>
      <x:c r="H3" s="30" t="n">
        <x:f>$E3*'Oferta_Base'!$B$4</x:f>
        <x:v>3877.9475126641805</x:v>
      </x:c>
      <x:c r="I3" s="30" t="n">
        <x:f>$E3*'Oferta_Base'!$B$5</x:f>
        <x:v>3974.896200480784</x:v>
      </x:c>
      <x:c r="J3" s="30" t="n">
        <x:f>$E3*'Oferta_Base'!$B$6</x:f>
        <x:v>4074.268605492804</x:v>
      </x:c>
      <x:c r="K3" s="24" t="n">
        <x:v>165070</x:v>
      </x:c>
    </x:row>
    <x:row r="4" ht="15" hidden="0">
      <x:c r="A4" s="3" t="s">
        <x:v>16</x:v>
      </x:c>
      <x:c r="B4" s="3" t="s">
        <x:v>17</x:v>
      </x:c>
      <x:c r="C4" s="3" t="s">
        <x:v>17</x:v>
      </x:c>
      <x:c r="D4" s="4" t="n">
        <x:v>0.024</x:v>
      </x:c>
      <x:c r="E4" s="26" t="n">
        <x:f>K4/SUM($K$2:$K$17)</x:f>
        <x:v>0.027585670261544133</x:v>
      </x:c>
      <x:c r="F4" s="29" t="n">
        <x:f>$E4*'Oferta_Base'!$B$2</x:f>
        <x:v>4066.6795099568362</x:v>
      </x:c>
      <x:c r="G4" s="29" t="n">
        <x:f>$E4*'Oferta_Base'!$B$3</x:f>
        <x:v>4168.346497705757</x:v>
      </x:c>
      <x:c r="H4" s="29" t="n">
        <x:f>$E4*'Oferta_Base'!$B$4</x:f>
        <x:v>4272.5551601484</x:v>
      </x:c>
      <x:c r="I4" s="29" t="n">
        <x:f>$E4*'Oferta_Base'!$B$5</x:f>
        <x:v>4379.3690391521095</x:v>
      </x:c>
      <x:c r="J4" s="29" t="n">
        <x:f>$E4*'Oferta_Base'!$B$6</x:f>
        <x:v>4488.853265130912</x:v>
      </x:c>
      <x:c r="K4" s="24" t="n">
        <x:v>181867</x:v>
      </x:c>
    </x:row>
    <x:row r="5" ht="15" hidden="0">
      <x:c r="A5" s="6" t="s">
        <x:v>18</x:v>
      </x:c>
      <x:c r="B5" s="6" t="s">
        <x:v>19</x:v>
      </x:c>
      <x:c r="C5" s="6" t="s">
        <x:v>20</x:v>
      </x:c>
      <x:c r="D5" s="7" t="n">
        <x:v>0.025</x:v>
      </x:c>
      <x:c r="E5" s="27" t="n">
        <x:f>K5/SUM($K$2:$K$17)</x:f>
        <x:v>0.01626515079237114</x:v>
      </x:c>
      <x:c r="F5" s="30" t="n">
        <x:f>$E5*'Oferta_Base'!$B$2</x:f>
        <x:v>2397.8085298113533</x:v>
      </x:c>
      <x:c r="G5" s="30" t="n">
        <x:f>$E5*'Oferta_Base'!$B$3</x:f>
        <x:v>2457.753743056637</x:v>
      </x:c>
      <x:c r="H5" s="30" t="n">
        <x:f>$E5*'Oferta_Base'!$B$4</x:f>
        <x:v>2519.197586633053</x:v>
      </x:c>
      <x:c r="I5" s="30" t="n">
        <x:f>$E5*'Oferta_Base'!$B$5</x:f>
        <x:v>2582.1775262988785</x:v>
      </x:c>
      <x:c r="J5" s="30" t="n">
        <x:f>$E5*'Oferta_Base'!$B$6</x:f>
        <x:v>2646.731964456351</x:v>
      </x:c>
      <x:c r="K5" s="24" t="n">
        <x:v>107233</x:v>
      </x:c>
    </x:row>
    <x:row r="6" ht="15" hidden="0">
      <x:c r="A6" s="3" t="s">
        <x:v>21</x:v>
      </x:c>
      <x:c r="B6" s="3" t="s">
        <x:v>22</x:v>
      </x:c>
      <x:c r="C6" s="3" t="s">
        <x:v>23</x:v>
      </x:c>
      <x:c r="D6" s="4" t="n">
        <x:v>0.021</x:v>
      </x:c>
      <x:c r="E6" s="26" t="n">
        <x:f>K6/SUM($K$2:$K$17)</x:f>
        <x:v>0.0435221294965862</x:v>
      </x:c>
      <x:c r="F6" s="29" t="n">
        <x:f>$E6*'Oferta_Base'!$B$2</x:f>
        <x:v>6416.032330386738</x:v>
      </x:c>
      <x:c r="G6" s="29" t="n">
        <x:f>$E6*'Oferta_Base'!$B$3</x:f>
        <x:v>6576.433138646406</x:v>
      </x:c>
      <x:c r="H6" s="29" t="n">
        <x:f>$E6*'Oferta_Base'!$B$4</x:f>
        <x:v>6740.843967112566</x:v>
      </x:c>
      <x:c r="I6" s="29" t="n">
        <x:f>$E6*'Oferta_Base'!$B$5</x:f>
        <x:v>6909.365066290378</x:v>
      </x:c>
      <x:c r="J6" s="29" t="n">
        <x:f>$E6*'Oferta_Base'!$B$6</x:f>
        <x:v>7082.099192947638</x:v>
      </x:c>
      <x:c r="K6" s="24" t="n">
        <x:v>286933</x:v>
      </x:c>
    </x:row>
    <x:row r="7" ht="15" hidden="0">
      <x:c r="A7" s="6" t="s">
        <x:v>24</x:v>
      </x:c>
      <x:c r="B7" s="6" t="s">
        <x:v>25</x:v>
      </x:c>
      <x:c r="C7" s="6" t="s">
        <x:v>25</x:v>
      </x:c>
      <x:c r="D7" s="7" t="n">
        <x:v>0.047</x:v>
      </x:c>
      <x:c r="E7" s="27" t="n">
        <x:f>K7/SUM($K$2:$K$17)</x:f>
        <x:v>0.10608561724922329</x:v>
      </x:c>
      <x:c r="F7" s="30" t="n">
        <x:f>$E7*'Oferta_Base'!$B$2</x:f>
        <x:v>15639.141694880496</x:v>
      </x:c>
      <x:c r="G7" s="30" t="n">
        <x:f>$E7*'Oferta_Base'!$B$3</x:f>
        <x:v>16030.12023725251</x:v>
      </x:c>
      <x:c r="H7" s="30" t="n">
        <x:f>$E7*'Oferta_Base'!$B$4</x:f>
        <x:v>16430.87324318382</x:v>
      </x:c>
      <x:c r="I7" s="30" t="n">
        <x:f>$E7*'Oferta_Base'!$B$5</x:f>
        <x:v>16841.64507426341</x:v>
      </x:c>
      <x:c r="J7" s="30" t="n">
        <x:f>$E7*'Oferta_Base'!$B$6</x:f>
        <x:v>17262.686201119996</x:v>
      </x:c>
      <x:c r="K7" s="24" t="n">
        <x:v>699402</x:v>
      </x:c>
    </x:row>
    <x:row r="8" ht="15" hidden="0">
      <x:c r="A8" s="3" t="s">
        <x:v>26</x:v>
      </x:c>
      <x:c r="B8" s="3" t="s">
        <x:v>27</x:v>
      </x:c>
      <x:c r="C8" s="3" t="s">
        <x:v>28</x:v>
      </x:c>
      <x:c r="D8" s="4" t="n">
        <x:v>0.153</x:v>
      </x:c>
      <x:c r="E8" s="26" t="n">
        <x:f>K8/SUM($K$2:$K$17)</x:f>
        <x:v>0.37048513630082</x:v>
      </x:c>
      <x:c r="F8" s="29" t="n">
        <x:f>$E8*'Oferta_Base'!$B$2</x:f>
        <x:v>54616.91879346688</x:v>
      </x:c>
      <x:c r="G8" s="29" t="n">
        <x:f>$E8*'Oferta_Base'!$B$3</x:f>
        <x:v>55982.34176330355</x:v>
      </x:c>
      <x:c r="H8" s="29" t="n">
        <x:f>$E8*'Oferta_Base'!$B$4</x:f>
        <x:v>57381.90030738613</x:v>
      </x:c>
      <x:c r="I8" s="29" t="n">
        <x:f>$E8*'Oferta_Base'!$B$5</x:f>
        <x:v>58816.44781507077</x:v>
      </x:c>
      <x:c r="J8" s="29" t="n">
        <x:f>$E8*'Oferta_Base'!$B$6</x:f>
        <x:v>60286.859010447544</x:v>
      </x:c>
      <x:c r="K8" s="24" t="n">
        <x:v>2442537</x:v>
      </x:c>
    </x:row>
    <x:row r="9" ht="15" hidden="0">
      <x:c r="A9" s="6" t="s">
        <x:v>29</x:v>
      </x:c>
      <x:c r="B9" s="6" t="s">
        <x:v>30</x:v>
      </x:c>
      <x:c r="C9" s="6" t="s">
        <x:v>31</x:v>
      </x:c>
      <x:c r="D9" s="7" t="n">
        <x:v>0.035</x:v>
      </x:c>
      <x:c r="E9" s="27" t="n">
        <x:f>K9/SUM($K$2:$K$17)</x:f>
        <x:v>0.059704159396748606</x:v>
      </x:c>
      <x:c r="F9" s="30" t="n">
        <x:f>$E9*'Oferta_Base'!$B$2</x:f>
        <x:v>8801.587178268679</x:v>
      </x:c>
      <x:c r="G9" s="30" t="n">
        <x:f>$E9*'Oferta_Base'!$B$3</x:f>
        <x:v>9021.626857725396</x:v>
      </x:c>
      <x:c r="H9" s="30" t="n">
        <x:f>$E9*'Oferta_Base'!$B$4</x:f>
        <x:v>9247.16752916853</x:v>
      </x:c>
      <x:c r="I9" s="30" t="n">
        <x:f>$E9*'Oferta_Base'!$B$5</x:f>
        <x:v>9478.34671739774</x:v>
      </x:c>
      <x:c r="J9" s="30" t="n">
        <x:f>$E9*'Oferta_Base'!$B$6</x:f>
        <x:v>9715.305385332686</x:v>
      </x:c>
      <x:c r="K9" s="24" t="n">
        <x:v>393618</x:v>
      </x:c>
    </x:row>
    <x:row r="10" ht="15" hidden="0">
      <x:c r="A10" s="3" t="s">
        <x:v>32</x:v>
      </x:c>
      <x:c r="B10" s="3" t="s">
        <x:v>33</x:v>
      </x:c>
      <x:c r="C10" s="3" t="s">
        <x:v>34</x:v>
      </x:c>
      <x:c r="D10" s="4" t="n">
        <x:v>0.042</x:v>
      </x:c>
      <x:c r="E10" s="26" t="n">
        <x:f>K10/SUM($K$2:$K$17)</x:f>
        <x:v>0.0820181752628281</x:v>
      </x:c>
      <x:c r="F10" s="29" t="n">
        <x:f>$E10*'Oferta_Base'!$B$2</x:f>
        <x:v>12091.119397246119</x:v>
      </x:c>
      <x:c r="G10" s="29" t="n">
        <x:f>$E10*'Oferta_Base'!$B$3</x:f>
        <x:v>12393.397382177272</x:v>
      </x:c>
      <x:c r="H10" s="29" t="n">
        <x:f>$E10*'Oferta_Base'!$B$4</x:f>
        <x:v>12703.232316731703</x:v>
      </x:c>
      <x:c r="I10" s="29" t="n">
        <x:f>$E10*'Oferta_Base'!$B$5</x:f>
        <x:v>13020.813124649992</x:v>
      </x:c>
      <x:c r="J10" s="29" t="n">
        <x:f>$E10*'Oferta_Base'!$B$6</x:f>
        <x:v>13346.333452766243</x:v>
      </x:c>
      <x:c r="K10" s="24" t="n">
        <x:v>540730</x:v>
      </x:c>
    </x:row>
    <x:row r="11" ht="15" hidden="0">
      <x:c r="A11" s="6" t="s">
        <x:v>35</x:v>
      </x:c>
      <x:c r="B11" s="6" t="s">
        <x:v>36</x:v>
      </x:c>
      <x:c r="C11" s="6" t="s">
        <x:v>37</x:v>
      </x:c>
      <x:c r="D11" s="7" t="n">
        <x:v>0.016</x:v>
      </x:c>
      <x:c r="E11" s="27" t="n">
        <x:f>K11/SUM($K$2:$K$17)</x:f>
        <x:v>0.029125378613388805</x:v>
      </x:c>
      <x:c r="F11" s="30" t="n">
        <x:f>$E11*'Oferta_Base'!$B$2</x:f>
        <x:v>4293.663315185778</x:v>
      </x:c>
      <x:c r="G11" s="30" t="n">
        <x:f>$E11*'Oferta_Base'!$B$3</x:f>
        <x:v>4401.004898065422</x:v>
      </x:c>
      <x:c r="H11" s="30" t="n">
        <x:f>$E11*'Oferta_Base'!$B$4</x:f>
        <x:v>4511.030020517057</x:v>
      </x:c>
      <x:c r="I11" s="30" t="n">
        <x:f>$E11*'Oferta_Base'!$B$5</x:f>
        <x:v>4623.805771029983</x:v>
      </x:c>
      <x:c r="J11" s="30" t="n">
        <x:f>$E11*'Oferta_Base'!$B$6</x:f>
        <x:v>4739.400915305732</x:v>
      </x:c>
      <x:c r="K11" s="24" t="n">
        <x:v>192018</x:v>
      </x:c>
    </x:row>
    <x:row r="12" ht="15" hidden="0">
      <x:c r="A12" s="3" t="s">
        <x:v>38</x:v>
      </x:c>
      <x:c r="B12" s="3" t="s">
        <x:v>39</x:v>
      </x:c>
      <x:c r="C12" s="3" t="s">
        <x:v>40</x:v>
      </x:c>
      <x:c r="D12" s="4" t="n">
        <x:v>0.042</x:v>
      </x:c>
      <x:c r="E12" s="26" t="n">
        <x:f>K12/SUM($K$2:$K$17)</x:f>
        <x:v>0.08251841742068287</x:v>
      </x:c>
      <x:c r="F12" s="29" t="n">
        <x:f>$E12*'Oferta_Base'!$B$2</x:f>
        <x:v>12164.86509615707</x:v>
      </x:c>
      <x:c r="G12" s="29" t="n">
        <x:f>$E12*'Oferta_Base'!$B$3</x:f>
        <x:v>12468.986723560996</x:v>
      </x:c>
      <x:c r="H12" s="29" t="n">
        <x:f>$E12*'Oferta_Base'!$B$4</x:f>
        <x:v>12780.71139165002</x:v>
      </x:c>
      <x:c r="I12" s="29" t="n">
        <x:f>$E12*'Oferta_Base'!$B$5</x:f>
        <x:v>13100.229176441268</x:v>
      </x:c>
      <x:c r="J12" s="29" t="n">
        <x:f>$E12*'Oferta_Base'!$B$6</x:f>
        <x:v>13427.734905852298</x:v>
      </x:c>
      <x:c r="K12" s="24" t="n">
        <x:v>544028</x:v>
      </x:c>
    </x:row>
    <x:row r="13" ht="15" hidden="0">
      <x:c r="A13" s="6" t="s">
        <x:v>41</x:v>
      </x:c>
      <x:c r="B13" s="6" t="s">
        <x:v>42</x:v>
      </x:c>
      <x:c r="C13" s="6" t="s">
        <x:v>43</x:v>
      </x:c>
      <x:c r="D13" s="7" t="n">
        <x:v>0.026000000000000002</x:v>
      </x:c>
      <x:c r="E13" s="27" t="n">
        <x:f>K13/SUM($K$2:$K$17)</x:f>
        <x:v>0.0483370740262835</x:v>
      </x:c>
      <x:c r="F13" s="30" t="n">
        <x:f>$E13*'Oferta_Base'!$B$2</x:f>
        <x:v>7125.851452954713</x:v>
      </x:c>
      <x:c r="G13" s="30" t="n">
        <x:f>$E13*'Oferta_Base'!$B$3</x:f>
        <x:v>7303.997739278581</x:v>
      </x:c>
      <x:c r="H13" s="30" t="n">
        <x:f>$E13*'Oferta_Base'!$B$4</x:f>
        <x:v>7486.597682760545</x:v>
      </x:c>
      <x:c r="I13" s="30" t="n">
        <x:f>$E13*'Oferta_Base'!$B$5</x:f>
        <x:v>7673.762624829556</x:v>
      </x:c>
      <x:c r="J13" s="30" t="n">
        <x:f>$E13*'Oferta_Base'!$B$6</x:f>
        <x:v>7865.606690450295</x:v>
      </x:c>
      <x:c r="K13" s="24" t="n">
        <x:v>318677</x:v>
      </x:c>
    </x:row>
    <x:row r="14" ht="15" hidden="0">
      <x:c r="A14" s="3" t="s">
        <x:v>44</x:v>
      </x:c>
      <x:c r="B14" s="3" t="s">
        <x:v>45</x:v>
      </x:c>
      <x:c r="C14" s="3" t="s">
        <x:v>46</x:v>
      </x:c>
      <x:c r="D14" s="4" t="n">
        <x:v>0.011000000000000001</x:v>
      </x:c>
      <x:c r="E14" s="26" t="n">
        <x:f>K14/SUM($K$2:$K$17)</x:f>
        <x:v>0.022305976801687052</x:v>
      </x:c>
      <x:c r="F14" s="29" t="n">
        <x:f>$E14*'Oferta_Base'!$B$2</x:f>
        <x:v>3288.347100104705</x:v>
      </x:c>
      <x:c r="G14" s="29" t="n">
        <x:f>$E14*'Oferta_Base'!$B$3</x:f>
        <x:v>3370.555777607323</x:v>
      </x:c>
      <x:c r="H14" s="29" t="n">
        <x:f>$E14*'Oferta_Base'!$B$4</x:f>
        <x:v>3454.8196720475053</x:v>
      </x:c>
      <x:c r="I14" s="29" t="n">
        <x:f>$E14*'Oferta_Base'!$B$5</x:f>
        <x:v>3541.1901638486925</x:v>
      </x:c>
      <x:c r="J14" s="29" t="n">
        <x:f>$E14*'Oferta_Base'!$B$6</x:f>
        <x:v>3629.7199179449094</x:v>
      </x:c>
      <x:c r="K14" s="24" t="n">
        <x:v>147059</x:v>
      </x:c>
    </x:row>
    <x:row r="15" ht="15" hidden="0">
      <x:c r="A15" s="6" t="s">
        <x:v>47</x:v>
      </x:c>
      <x:c r="B15" s="6" t="s">
        <x:v>48</x:v>
      </x:c>
      <x:c r="C15" s="6" t="s">
        <x:v>49</x:v>
      </x:c>
      <x:c r="D15" s="7" t="n">
        <x:v>0.027000000000000003</x:v>
      </x:c>
      <x:c r="E15" s="27" t="n">
        <x:f>K15/SUM($K$2:$K$17)</x:f>
        <x:v>0.050365800181925546</x:v>
      </x:c>
      <x:c r="F15" s="30" t="n">
        <x:f>$E15*'Oferta_Base'!$B$2</x:f>
        <x:v>7424.926262819464</x:v>
      </x:c>
      <x:c r="G15" s="30" t="n">
        <x:f>$E15*'Oferta_Base'!$B$3</x:f>
        <x:v>7610.54941938995</x:v>
      </x:c>
      <x:c r="H15" s="30" t="n">
        <x:f>$E15*'Oferta_Base'!$B$4</x:f>
        <x:v>7800.813154874699</x:v>
      </x:c>
      <x:c r="I15" s="30" t="n">
        <x:f>$E15*'Oferta_Base'!$B$5</x:f>
        <x:v>7995.8334837465645</x:v>
      </x:c>
      <x:c r="J15" s="30" t="n">
        <x:f>$E15*'Oferta_Base'!$B$6</x:f>
        <x:v>8195.729320840228</x:v>
      </x:c>
      <x:c r="K15" s="24" t="n">
        <x:v>332052</x:v>
      </x:c>
    </x:row>
    <x:row r="16" ht="15" hidden="0">
      <x:c r="A16" s="3" t="s">
        <x:v>50</x:v>
      </x:c>
      <x:c r="B16" s="3" t="s">
        <x:v>51</x:v>
      </x:c>
      <x:c r="C16" s="3" t="s">
        <x:v>52</x:v>
      </x:c>
      <x:c r="D16" s="4" t="n">
        <x:v>0.005</x:v>
      </x:c>
      <x:c r="E16" s="26" t="n">
        <x:f>K16/SUM($K$2:$K$17)</x:f>
        <x:v>0.008791854516596649</x:v>
      </x:c>
      <x:c r="F16" s="29" t="n">
        <x:f>$E16*'Oferta_Base'!$B$2</x:f>
        <x:v>1296.095192836678</x:v>
      </x:c>
      <x:c r="G16" s="29" t="n">
        <x:f>$E16*'Oferta_Base'!$B$3</x:f>
        <x:v>1328.497572657595</x:v>
      </x:c>
      <x:c r="H16" s="29" t="n">
        <x:f>$E16*'Oferta_Base'!$B$4</x:f>
        <x:v>1361.7100119740346</x:v>
      </x:c>
      <x:c r="I16" s="29" t="n">
        <x:f>$E16*'Oferta_Base'!$B$5</x:f>
        <x:v>1395.7527622733853</x:v>
      </x:c>
      <x:c r="J16" s="29" t="n">
        <x:f>$E16*'Oferta_Base'!$B$6</x:f>
        <x:v>1430.6465813302198</x:v>
      </x:c>
      <x:c r="K16" s="24" t="n">
        <x:v>57963</x:v>
      </x:c>
    </x:row>
    <x:row r="17" ht="15" hidden="0">
      <x:c r="A17" s="6" t="s">
        <x:v>53</x:v>
      </x:c>
      <x:c r="B17" s="6" t="s">
        <x:v>54</x:v>
      </x:c>
      <x:c r="C17" s="6" t="s">
        <x:v>55</x:v>
      </x:c>
      <x:c r="D17" s="7" t="n">
        <x:v>0.006999999999999999</x:v>
      </x:c>
      <x:c r="E17" s="27" t="n">
        <x:f>K17/SUM($K$2:$K$17)</x:f>
        <x:v>0.01395247881516932</x:v>
      </x:c>
      <x:c r="F17" s="30" t="n">
        <x:f>$E17*'Oferta_Base'!$B$2</x:f>
        <x:v>2056.874426932261</x:v>
      </x:c>
      <x:c r="G17" s="30" t="n">
        <x:f>$E17*'Oferta_Base'!$B$3</x:f>
        <x:v>2108.2962876055676</x:v>
      </x:c>
      <x:c r="H17" s="30" t="n">
        <x:f>$E17*'Oferta_Base'!$B$4</x:f>
        <x:v>2161.0036947957065</x:v>
      </x:c>
      <x:c r="I17" s="30" t="n">
        <x:f>$E17*'Oferta_Base'!$B$5</x:f>
        <x:v>2215.0287871655987</x:v>
      </x:c>
      <x:c r="J17" s="30" t="n">
        <x:f>$E17*'Oferta_Base'!$B$6</x:f>
        <x:v>2270.4045068447385</x:v>
      </x:c>
      <x:c r="K17" s="24" t="n">
        <x:v>91986</x:v>
      </x:c>
    </x:row>
    <x:row r="18" ht="15" hidden="0">
      <x:c r="A18" s="9" t="s">
        <x:v>56</x:v>
      </x:c>
      <x:c r="B18" s="9" t="s">
        <x:v>57</x:v>
      </x:c>
      <x:c r="C18" s="9" t="s">
        <x:v>58</x:v>
      </x:c>
      <x:c r="D18" s="10" t="n">
        <x:f aca="0">SUM(D2:D17)</x:f>
        <x:v>0.5000000000000001</x:v>
      </x:c>
      <x:c r="E18" s="28" t="n">
        <x:f aca="0">SUM(E2:E17)</x:f>
        <x:v>1</x:v>
      </x:c>
      <x:c r="F18" s="31" t="n">
        <x:f aca="0">SUM(F2:F17)</x:f>
        <x:v>147420</x:v>
      </x:c>
      <x:c r="G18" s="31" t="n">
        <x:f aca="0">SUM(G2:G17)</x:f>
        <x:v>151105.5</x:v>
      </x:c>
      <x:c r="H18" s="31" t="n">
        <x:f aca="0">SUM(H2:H17)</x:f>
        <x:v>154883.13749999998</x:v>
      </x:c>
      <x:c r="I18" s="31" t="n">
        <x:f aca="0">SUM(I2:I17)</x:f>
        <x:v>158755.21593749992</x:v>
      </x:c>
      <x:c r="J18" s="31" t="n">
        <x:f aca="0">SUM(J2:J17)</x:f>
        <x:v>162724.09633593744</x:v>
      </x:c>
      <x:c r="K18" s="24" t="n">
        <x:f>SUM(K2:K17)</x:f>
        <x:v>6592807</x:v>
      </x:c>
    </x:row>
  </x:sheetData>
  <x:pageMargins left="0.7" right="0.7" top="0.75" bottom="0.75" header="0.3" footer="0.3"/>
  <x:drawing xmlns:r="http://schemas.openxmlformats.org/officeDocument/2006/relationships" r:id="R85d89c99301b4670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" hidden="0" customWidth="1"/>
    <x:col min="2" max="2" width="27" hidden="0" customWidth="1"/>
    <x:col min="3" max="3" width="28" hidden="0" customWidth="1"/>
    <x:col min="4" max="4" width="33" hidden="0" customWidth="1"/>
    <x:col min="5" max="7" width="29" hidden="0" customWidth="1"/>
  </x:cols>
  <x:sheetData>
    <x:row r="1" ht="24" hidden="0" customHeight="1">
      <x:c r="A1" s="2" t="s">
        <x:v>59</x:v>
      </x:c>
      <x:c r="B1" s="2" t="s">
        <x:v>60</x:v>
      </x:c>
      <x:c r="C1" s="2" t="s">
        <x:v>61</x:v>
      </x:c>
      <x:c r="D1" s="2" t="s">
        <x:v>62</x:v>
      </x:c>
      <x:c r="E1" s="2" t="s">
        <x:v>63</x:v>
      </x:c>
      <x:c r="F1" s="2" t="s">
        <x:v>64</x:v>
      </x:c>
      <x:c r="G1" s="2" t="s">
        <x:v>65</x:v>
      </x:c>
    </x:row>
    <x:row r="2" ht="15" hidden="0">
      <x:c r="A2" s="12" t="n">
        <x:v>2026</x:v>
      </x:c>
      <x:c r="B2" s="4" t="n">
        <x:v>0.8</x:v>
      </x:c>
      <x:c r="C2" s="4" t="n">
        <x:v>0.6</x:v>
      </x:c>
      <x:c r="D2" s="4" t="n">
        <x:v>0.6</x:v>
      </x:c>
      <x:c r="E2" s="5" t="n">
        <x:v>2900</x:v>
      </x:c>
      <x:c r="F2" s="5" t="n">
        <x:v>2900</x:v>
      </x:c>
      <x:c r="G2" s="5" t="n">
        <x:v>2900</x:v>
      </x:c>
    </x:row>
    <x:row r="3" ht="15" hidden="0">
      <x:c r="A3" s="12" t="n">
        <x:v>2027</x:v>
      </x:c>
      <x:c r="B3" s="4" t="n">
        <x:v>0.8</x:v>
      </x:c>
      <x:c r="C3" s="4" t="n">
        <x:v>0.6</x:v>
      </x:c>
      <x:c r="D3" s="4" t="n">
        <x:v>0.6</x:v>
      </x:c>
      <x:c r="E3" s="5" t="n">
        <x:v>2900</x:v>
      </x:c>
      <x:c r="F3" s="5" t="n">
        <x:v>2900</x:v>
      </x:c>
      <x:c r="G3" s="5" t="n">
        <x:v>2900</x:v>
      </x:c>
    </x:row>
    <x:row r="4" ht="15" hidden="0">
      <x:c r="A4" s="12" t="n">
        <x:v>2028</x:v>
      </x:c>
      <x:c r="B4" s="4" t="n">
        <x:v>0.8</x:v>
      </x:c>
      <x:c r="C4" s="4" t="n">
        <x:v>0.8</x:v>
      </x:c>
      <x:c r="D4" s="4" t="n">
        <x:v>0.6</x:v>
      </x:c>
      <x:c r="E4" s="5" t="n">
        <x:v>2900</x:v>
      </x:c>
      <x:c r="F4" s="5" t="n">
        <x:v>2900</x:v>
      </x:c>
      <x:c r="G4" s="5" t="n">
        <x:v>2900</x:v>
      </x:c>
    </x:row>
    <x:row r="5" ht="15" hidden="0">
      <x:c r="A5" s="12" t="n">
        <x:v>2029</x:v>
      </x:c>
      <x:c r="B5" s="4" t="n">
        <x:v>0.8</x:v>
      </x:c>
      <x:c r="C5" s="4" t="n">
        <x:v>0.8</x:v>
      </x:c>
      <x:c r="D5" s="4" t="n">
        <x:v>0.6</x:v>
      </x:c>
      <x:c r="E5" s="5" t="n">
        <x:v>2900</x:v>
      </x:c>
      <x:c r="F5" s="5" t="n">
        <x:v>2900</x:v>
      </x:c>
      <x:c r="G5" s="5" t="n">
        <x:v>2900</x:v>
      </x:c>
    </x:row>
    <x:row r="6" ht="15" hidden="0">
      <x:c r="A6" s="12" t="n">
        <x:v>2030</x:v>
      </x:c>
      <x:c r="B6" s="4" t="n">
        <x:v>0.9</x:v>
      </x:c>
      <x:c r="C6" s="4" t="n">
        <x:v>0.9</x:v>
      </x:c>
      <x:c r="D6" s="4" t="n">
        <x:v>0.6</x:v>
      </x:c>
      <x:c r="E6" s="5" t="n">
        <x:v>2900</x:v>
      </x:c>
      <x:c r="F6" s="5" t="n">
        <x:v>2900</x:v>
      </x:c>
      <x:c r="G6" s="5" t="n">
        <x:v>2900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" hidden="0" customWidth="1"/>
    <x:col min="2" max="2" width="33" hidden="0" customWidth="1"/>
    <x:col min="3" max="3" width="15" hidden="0" customWidth="1"/>
    <x:col min="4" max="4" width="30" hidden="0" customWidth="1"/>
    <x:col min="5" max="6" width="29" hidden="0" customWidth="1"/>
    <x:col min="7" max="7" width="24" hidden="0" customWidth="1"/>
    <x:col min="8" max="8" width="32" hidden="0" customWidth="1"/>
    <x:col min="9" max="9" width="35" hidden="0" customWidth="1"/>
    <x:col min="10" max="10" width="39" hidden="0" customWidth="1"/>
  </x:cols>
  <x:sheetData>
    <x:row r="1" ht="24" hidden="0" customHeight="1">
      <x:c r="A1" s="1" t="s">
        <x:v>66</x:v>
      </x:c>
      <x:c r="B1" s="1" t="s">
        <x:v>67</x:v>
      </x:c>
      <x:c r="C1" s="1" t="s">
        <x:v>68</x:v>
      </x:c>
      <x:c r="D1" s="2" t="s">
        <x:v>69</x:v>
      </x:c>
      <x:c r="E1" s="2" t="s">
        <x:v>70</x:v>
      </x:c>
      <x:c r="F1" s="2" t="s">
        <x:v>71</x:v>
      </x:c>
      <x:c r="G1" s="2" t="s">
        <x:v>72</x:v>
      </x:c>
      <x:c r="H1" s="2" t="s">
        <x:v>73</x:v>
      </x:c>
      <x:c r="I1" s="2" t="s">
        <x:v>74</x:v>
      </x:c>
      <x:c r="J1" s="2" t="str">
        <x:v>Inversion_Habilitacion_iC [M$]</x:v>
      </x:c>
    </x:row>
    <x:row r="2" ht="15" hidden="0">
      <x:c r="A2" s="3" t="s">
        <x:v>75</x:v>
      </x:c>
      <x:c r="B2" s="3" t="s">
        <x:v>76</x:v>
      </x:c>
      <x:c r="C2" s="3" t="s">
        <x:v>13</x:v>
      </x:c>
      <x:c r="D2" s="5" t="n">
        <x:v>5500</x:v>
      </x:c>
      <x:c r="E2" s="5" t="n">
        <x:v>5000</x:v>
      </x:c>
      <x:c r="F2" s="5" t="n">
        <x:v>1800</x:v>
      </x:c>
      <x:c r="G2" s="5" t="n">
        <x:v>0</x:v>
      </x:c>
      <x:c r="H2" s="5" t="n">
        <x:v>52000</x:v>
      </x:c>
      <x:c r="I2" s="5" t="n">
        <x:v>14</x:v>
      </x:c>
      <x:c r="J2" s="22" t="n">
        <x:f>H2*Supuestos_Inversion!$B$2</x:f>
        <x:v>156000</x:v>
      </x:c>
    </x:row>
    <x:row r="3" ht="15" hidden="0">
      <x:c r="A3" s="3" t="s">
        <x:v>77</x:v>
      </x:c>
      <x:c r="B3" s="3" t="s">
        <x:v>78</x:v>
      </x:c>
      <x:c r="C3" s="3" t="s">
        <x:v>16</x:v>
      </x:c>
      <x:c r="D3" s="5" t="n">
        <x:v>9500</x:v>
      </x:c>
      <x:c r="E3" s="5" t="n">
        <x:v>9000</x:v>
      </x:c>
      <x:c r="F3" s="5" t="n">
        <x:v>2500</x:v>
      </x:c>
      <x:c r="G3" s="5" t="n">
        <x:v>0</x:v>
      </x:c>
      <x:c r="H3" s="5" t="n">
        <x:v>68000</x:v>
      </x:c>
      <x:c r="I3" s="5" t="n">
        <x:v>15</x:v>
      </x:c>
      <x:c r="J3" s="22" t="n">
        <x:f>H3*Supuestos_Inversion!$B$2</x:f>
        <x:v>204000</x:v>
      </x:c>
    </x:row>
    <x:row r="4" ht="15" hidden="0">
      <x:c r="A4" s="3" t="s">
        <x:v>79</x:v>
      </x:c>
      <x:c r="B4" s="3" t="s">
        <x:v>80</x:v>
      </x:c>
      <x:c r="C4" s="3" t="s">
        <x:v>21</x:v>
      </x:c>
      <x:c r="D4" s="5" t="n">
        <x:v>8500</x:v>
      </x:c>
      <x:c r="E4" s="5" t="n">
        <x:v>7800</x:v>
      </x:c>
      <x:c r="F4" s="5" t="n">
        <x:v>2400</x:v>
      </x:c>
      <x:c r="G4" s="5" t="n">
        <x:v>0</x:v>
      </x:c>
      <x:c r="H4" s="5" t="n">
        <x:v>58000</x:v>
      </x:c>
      <x:c r="I4" s="5" t="n">
        <x:v>14.5</x:v>
      </x:c>
      <x:c r="J4" s="22" t="n">
        <x:f>H4*Supuestos_Inversion!$B$2</x:f>
        <x:v>174000</x:v>
      </x:c>
    </x:row>
    <x:row r="5" ht="15" hidden="0">
      <x:c r="A5" s="3" t="s">
        <x:v>81</x:v>
      </x:c>
      <x:c r="B5" s="3" t="s">
        <x:v>82</x:v>
      </x:c>
      <x:c r="C5" s="3" t="s">
        <x:v>26</x:v>
      </x:c>
      <x:c r="D5" s="5" t="n">
        <x:v>18000</x:v>
      </x:c>
      <x:c r="E5" s="5" t="n">
        <x:v>16500</x:v>
      </x:c>
      <x:c r="F5" s="5" t="n">
        <x:v>4500</x:v>
      </x:c>
      <x:c r="G5" s="5" t="n">
        <x:v>0</x:v>
      </x:c>
      <x:c r="H5" s="5" t="n">
        <x:v>95000</x:v>
      </x:c>
      <x:c r="I5" s="5" t="n">
        <x:v>16</x:v>
      </x:c>
      <x:c r="J5" s="22" t="n">
        <x:f>H5*Supuestos_Inversion!$B$2</x:f>
        <x:v>285000</x:v>
      </x:c>
    </x:row>
    <x:row r="6" ht="15" hidden="0">
      <x:c r="A6" s="3" t="s">
        <x:v>83</x:v>
      </x:c>
      <x:c r="B6" s="3" t="s">
        <x:v>84</x:v>
      </x:c>
      <x:c r="C6" s="3" t="s">
        <x:v>38</x:v>
      </x:c>
      <x:c r="D6" s="5" t="n">
        <x:v>13000</x:v>
      </x:c>
      <x:c r="E6" s="5" t="n">
        <x:v>12000</x:v>
      </x:c>
      <x:c r="F6" s="5" t="n">
        <x:v>3200</x:v>
      </x:c>
      <x:c r="G6" s="5" t="n">
        <x:v>0</x:v>
      </x:c>
      <x:c r="H6" s="5" t="n">
        <x:v>76000</x:v>
      </x:c>
      <x:c r="I6" s="5" t="n">
        <x:v>15</x:v>
      </x:c>
      <x:c r="J6" s="22" t="n">
        <x:f>H6*Supuestos_Inversion!$B$2</x:f>
        <x:v>228000</x:v>
      </x:c>
    </x:row>
    <x:row r="7" ht="15" hidden="0">
      <x:c r="A7" s="3" t="s">
        <x:v>85</x:v>
      </x:c>
      <x:c r="B7" s="3" t="s">
        <x:v>86</x:v>
      </x:c>
      <x:c r="C7" s="3" t="s">
        <x:v>47</x:v>
      </x:c>
      <x:c r="D7" s="5" t="n">
        <x:v>9500</x:v>
      </x:c>
      <x:c r="E7" s="5" t="n">
        <x:v>8500</x:v>
      </x:c>
      <x:c r="F7" s="5" t="n">
        <x:v>2800</x:v>
      </x:c>
      <x:c r="G7" s="5" t="n">
        <x:v>0</x:v>
      </x:c>
      <x:c r="H7" s="5" t="n">
        <x:v>62000</x:v>
      </x:c>
      <x:c r="I7" s="5" t="n">
        <x:v>14</x:v>
      </x:c>
      <x:c r="J7" s="22" t="n">
        <x:f>H7*Supuestos_Inversion!$B$2</x:f>
        <x:v>186000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" hidden="0" customWidth="1"/>
    <x:col min="2" max="2" width="35" hidden="0" customWidth="1"/>
    <x:col min="3" max="3" width="15" hidden="0" customWidth="1"/>
    <x:col min="4" max="4" width="26" hidden="0" customWidth="1"/>
    <x:col min="5" max="5" width="17" hidden="0" customWidth="1"/>
    <x:col min="6" max="6" width="38" hidden="0" customWidth="1"/>
    <x:col min="7" max="7" width="17" hidden="0" customWidth="1"/>
    <x:col min="8" max="8" width="24" hidden="0" customWidth="1"/>
    <x:col min="9" max="9" width="25" hidden="0" customWidth="1"/>
    <x:col min="10" max="10" width="29" hidden="0" customWidth="1"/>
    <x:col min="11" max="11" width="26" hidden="0" customWidth="1"/>
    <x:col min="12" max="12" width="39" hidden="0" customWidth="1"/>
  </x:cols>
  <x:sheetData>
    <x:row r="1" ht="24" hidden="0" customHeight="1">
      <x:c r="A1" s="1" t="s">
        <x:v>87</x:v>
      </x:c>
      <x:c r="B1" s="1" t="s">
        <x:v>88</x:v>
      </x:c>
      <x:c r="C1" s="1" t="s">
        <x:v>68</x:v>
      </x:c>
      <x:c r="D1" s="2" t="s">
        <x:v>89</x:v>
      </x:c>
      <x:c r="E1" s="1" t="s">
        <x:v>90</x:v>
      </x:c>
      <x:c r="F1" s="1" t="s">
        <x:v>91</x:v>
      </x:c>
      <x:c r="G1" s="1" t="s">
        <x:v>92</x:v>
      </x:c>
      <x:c r="H1" s="2" t="s">
        <x:v>93</x:v>
      </x:c>
      <x:c r="I1" s="2" t="s">
        <x:v>94</x:v>
      </x:c>
      <x:c r="J1" s="2" t="s">
        <x:v>95</x:v>
      </x:c>
      <x:c r="K1" s="2" t="s">
        <x:v>96</x:v>
      </x:c>
      <x:c r="L1" s="2" t="str">
        <x:v>Inversion_Habilitacion_iP [M$]</x:v>
      </x:c>
    </x:row>
    <x:row r="2" ht="15" hidden="0">
      <x:c r="A2" s="3" t="s">
        <x:v>97</x:v>
      </x:c>
      <x:c r="B2" s="3" t="s">
        <x:v>98</x:v>
      </x:c>
      <x:c r="C2" s="3" t="s">
        <x:v>16</x:v>
      </x:c>
      <x:c r="D2" s="12" t="n">
        <x:v>2</x:v>
      </x:c>
      <x:c r="E2" s="3" t="s">
        <x:v>99</x:v>
      </x:c>
      <x:c r="F2" s="3" t="s">
        <x:v>100</x:v>
      </x:c>
      <x:c r="G2" s="3" t="s">
        <x:v>101</x:v>
      </x:c>
      <x:c r="H2" s="12" t="n">
        <x:v>1</x:v>
      </x:c>
      <x:c r="I2" s="5" t="n">
        <x:v>6500</x:v>
      </x:c>
      <x:c r="J2" s="5" t="n">
        <x:v>3770</x:v>
      </x:c>
      <x:c r="K2" s="5" t="n">
        <x:v>185000</x:v>
      </x:c>
      <x:c r="L2" s="22" t="n">
        <x:f>IF(H2=1,K2*Supuestos_Inversion!$B$3,0)</x:f>
        <x:v>925000</x:v>
      </x:c>
    </x:row>
    <x:row r="3" ht="15" hidden="0">
      <x:c r="A3" s="6" t="s">
        <x:v>97</x:v>
      </x:c>
      <x:c r="B3" s="6" t="s">
        <x:v>98</x:v>
      </x:c>
      <x:c r="C3" s="6" t="s">
        <x:v>16</x:v>
      </x:c>
      <x:c r="D3" s="13" t="n">
        <x:v>2</x:v>
      </x:c>
      <x:c r="E3" s="6" t="s">
        <x:v>102</x:v>
      </x:c>
      <x:c r="F3" s="6" t="s">
        <x:v>103</x:v>
      </x:c>
      <x:c r="G3" s="6" t="s">
        <x:v>101</x:v>
      </x:c>
      <x:c r="H3" s="13" t="n">
        <x:v>1</x:v>
      </x:c>
      <x:c r="I3" s="8" t="n">
        <x:v>15000</x:v>
      </x:c>
      <x:c r="J3" s="8" t="n">
        <x:v>8700</x:v>
      </x:c>
      <x:c r="K3" s="8" t="n">
        <x:v>310000</x:v>
      </x:c>
      <x:c r="L3" s="23" t="n">
        <x:f>IF(H3=1,K3*Supuestos_Inversion!$B$3,0)</x:f>
        <x:v>1550000</x:v>
      </x:c>
    </x:row>
    <x:row r="4" ht="15" hidden="0">
      <x:c r="A4" s="3" t="s">
        <x:v>97</x:v>
      </x:c>
      <x:c r="B4" s="3" t="s">
        <x:v>98</x:v>
      </x:c>
      <x:c r="C4" s="3" t="s">
        <x:v>16</x:v>
      </x:c>
      <x:c r="D4" s="12" t="n">
        <x:v>2</x:v>
      </x:c>
      <x:c r="E4" s="3" t="s">
        <x:v>104</x:v>
      </x:c>
      <x:c r="F4" s="3" t="s">
        <x:v>105</x:v>
      </x:c>
      <x:c r="G4" s="3" t="s">
        <x:v>106</x:v>
      </x:c>
      <x:c r="H4" s="12" t="n">
        <x:v>0</x:v>
      </x:c>
      <x:c r="I4" s="5" t="n">
        <x:v>0</x:v>
      </x:c>
      <x:c r="J4" s="5" t="n">
        <x:v>0</x:v>
      </x:c>
      <x:c r="K4" s="5" t="n">
        <x:v>999999</x:v>
      </x:c>
      <x:c r="L4" s="22" t="n">
        <x:f>IF(H4=1,K4*Supuestos_Inversion!$B$3,0)</x:f>
        <x:v>0</x:v>
      </x:c>
    </x:row>
    <x:row r="5" ht="15" hidden="0">
      <x:c r="A5" s="6" t="s">
        <x:v>97</x:v>
      </x:c>
      <x:c r="B5" s="6" t="s">
        <x:v>98</x:v>
      </x:c>
      <x:c r="C5" s="6" t="s">
        <x:v>16</x:v>
      </x:c>
      <x:c r="D5" s="13" t="n">
        <x:v>2</x:v>
      </x:c>
      <x:c r="E5" s="6" t="s">
        <x:v>107</x:v>
      </x:c>
      <x:c r="F5" s="6" t="s">
        <x:v>108</x:v>
      </x:c>
      <x:c r="G5" s="6" t="s">
        <x:v>106</x:v>
      </x:c>
      <x:c r="H5" s="13" t="n">
        <x:v>1</x:v>
      </x:c>
      <x:c r="I5" s="8" t="n">
        <x:v>11000</x:v>
      </x:c>
      <x:c r="J5" s="8" t="n">
        <x:v>6380</x:v>
      </x:c>
      <x:c r="K5" s="8" t="n">
        <x:v>255000</x:v>
      </x:c>
      <x:c r="L5" s="23" t="n">
        <x:f>IF(H5=1,K5*Supuestos_Inversion!$B$3,0)</x:f>
        <x:v>1275000</x:v>
      </x:c>
    </x:row>
    <x:row r="6" ht="15" hidden="0">
      <x:c r="A6" s="3" t="s">
        <x:v>109</x:v>
      </x:c>
      <x:c r="B6" s="3" t="s">
        <x:v>110</x:v>
      </x:c>
      <x:c r="C6" s="3" t="s">
        <x:v>24</x:v>
      </x:c>
      <x:c r="D6" s="12" t="n">
        <x:v>2</x:v>
      </x:c>
      <x:c r="E6" s="3" t="s">
        <x:v>99</x:v>
      </x:c>
      <x:c r="F6" s="3" t="s">
        <x:v>100</x:v>
      </x:c>
      <x:c r="G6" s="3" t="s">
        <x:v>101</x:v>
      </x:c>
      <x:c r="H6" s="12" t="n">
        <x:v>0</x:v>
      </x:c>
      <x:c r="I6" s="5" t="n">
        <x:v>0</x:v>
      </x:c>
      <x:c r="J6" s="5" t="n">
        <x:v>0</x:v>
      </x:c>
      <x:c r="K6" s="5" t="n">
        <x:v>999999</x:v>
      </x:c>
      <x:c r="L6" s="22" t="n">
        <x:f>IF(H6=1,K6*Supuestos_Inversion!$B$3,0)</x:f>
        <x:v>0</x:v>
      </x:c>
    </x:row>
    <x:row r="7" ht="15" hidden="0">
      <x:c r="A7" s="6" t="s">
        <x:v>109</x:v>
      </x:c>
      <x:c r="B7" s="6" t="s">
        <x:v>110</x:v>
      </x:c>
      <x:c r="C7" s="6" t="s">
        <x:v>24</x:v>
      </x:c>
      <x:c r="D7" s="13" t="n">
        <x:v>2</x:v>
      </x:c>
      <x:c r="E7" s="6" t="s">
        <x:v>102</x:v>
      </x:c>
      <x:c r="F7" s="6" t="s">
        <x:v>103</x:v>
      </x:c>
      <x:c r="G7" s="6" t="s">
        <x:v>101</x:v>
      </x:c>
      <x:c r="H7" s="13" t="n">
        <x:v>1</x:v>
      </x:c>
      <x:c r="I7" s="8" t="n">
        <x:v>17000</x:v>
      </x:c>
      <x:c r="J7" s="8" t="n">
        <x:v>9860</x:v>
      </x:c>
      <x:c r="K7" s="8" t="n">
        <x:v>325000</x:v>
      </x:c>
      <x:c r="L7" s="23" t="n">
        <x:f>IF(H7=1,K7*Supuestos_Inversion!$B$3,0)</x:f>
        <x:v>1625000</x:v>
      </x:c>
    </x:row>
    <x:row r="8" ht="15" hidden="0">
      <x:c r="A8" s="3" t="s">
        <x:v>109</x:v>
      </x:c>
      <x:c r="B8" s="3" t="s">
        <x:v>110</x:v>
      </x:c>
      <x:c r="C8" s="3" t="s">
        <x:v>24</x:v>
      </x:c>
      <x:c r="D8" s="12" t="n">
        <x:v>2</x:v>
      </x:c>
      <x:c r="E8" s="3" t="s">
        <x:v>104</x:v>
      </x:c>
      <x:c r="F8" s="3" t="s">
        <x:v>105</x:v>
      </x:c>
      <x:c r="G8" s="3" t="s">
        <x:v>106</x:v>
      </x:c>
      <x:c r="H8" s="12" t="n">
        <x:v>1</x:v>
      </x:c>
      <x:c r="I8" s="5" t="n">
        <x:v>15500</x:v>
      </x:c>
      <x:c r="J8" s="5" t="n">
        <x:v>8990</x:v>
      </x:c>
      <x:c r="K8" s="5" t="n">
        <x:v>230000</x:v>
      </x:c>
      <x:c r="L8" s="22" t="n">
        <x:f>IF(H8=1,K8*Supuestos_Inversion!$B$3,0)</x:f>
        <x:v>1150000</x:v>
      </x:c>
    </x:row>
    <x:row r="9" ht="15" hidden="0">
      <x:c r="A9" s="6" t="s">
        <x:v>109</x:v>
      </x:c>
      <x:c r="B9" s="6" t="s">
        <x:v>110</x:v>
      </x:c>
      <x:c r="C9" s="6" t="s">
        <x:v>24</x:v>
      </x:c>
      <x:c r="D9" s="13" t="n">
        <x:v>2</x:v>
      </x:c>
      <x:c r="E9" s="6" t="s">
        <x:v>107</x:v>
      </x:c>
      <x:c r="F9" s="6" t="s">
        <x:v>108</x:v>
      </x:c>
      <x:c r="G9" s="6" t="s">
        <x:v>106</x:v>
      </x:c>
      <x:c r="H9" s="13" t="n">
        <x:v>1</x:v>
      </x:c>
      <x:c r="I9" s="8" t="n">
        <x:v>12000</x:v>
      </x:c>
      <x:c r="J9" s="8" t="n">
        <x:v>6960</x:v>
      </x:c>
      <x:c r="K9" s="8" t="n">
        <x:v>260000</x:v>
      </x:c>
      <x:c r="L9" s="23" t="n">
        <x:f>IF(H9=1,K9*Supuestos_Inversion!$B$3,0)</x:f>
        <x:v>1300000</x:v>
      </x:c>
    </x:row>
    <x:row r="10" ht="15" hidden="0">
      <x:c r="A10" s="3" t="s">
        <x:v>111</x:v>
      </x:c>
      <x:c r="B10" s="3" t="s">
        <x:v>112</x:v>
      </x:c>
      <x:c r="C10" s="3" t="s">
        <x:v>26</x:v>
      </x:c>
      <x:c r="D10" s="12" t="n">
        <x:v>3</x:v>
      </x:c>
      <x:c r="E10" s="3" t="s">
        <x:v>99</x:v>
      </x:c>
      <x:c r="F10" s="3" t="s">
        <x:v>100</x:v>
      </x:c>
      <x:c r="G10" s="3" t="s">
        <x:v>101</x:v>
      </x:c>
      <x:c r="H10" s="12" t="n">
        <x:v>1</x:v>
      </x:c>
      <x:c r="I10" s="5" t="n">
        <x:v>11500</x:v>
      </x:c>
      <x:c r="J10" s="5" t="n">
        <x:v>6670</x:v>
      </x:c>
      <x:c r="K10" s="5" t="n">
        <x:v>220000</x:v>
      </x:c>
      <x:c r="L10" s="22" t="n">
        <x:f>IF(H10=1,K10*Supuestos_Inversion!$B$3,0)</x:f>
        <x:v>1100000</x:v>
      </x:c>
    </x:row>
    <x:row r="11" ht="15" hidden="0">
      <x:c r="A11" s="6" t="s">
        <x:v>111</x:v>
      </x:c>
      <x:c r="B11" s="6" t="s">
        <x:v>112</x:v>
      </x:c>
      <x:c r="C11" s="6" t="s">
        <x:v>26</x:v>
      </x:c>
      <x:c r="D11" s="13" t="n">
        <x:v>3</x:v>
      </x:c>
      <x:c r="E11" s="6" t="s">
        <x:v>102</x:v>
      </x:c>
      <x:c r="F11" s="6" t="s">
        <x:v>103</x:v>
      </x:c>
      <x:c r="G11" s="6" t="s">
        <x:v>101</x:v>
      </x:c>
      <x:c r="H11" s="13" t="n">
        <x:v>1</x:v>
      </x:c>
      <x:c r="I11" s="8" t="n">
        <x:v>32000</x:v>
      </x:c>
      <x:c r="J11" s="8" t="n">
        <x:v>18560</x:v>
      </x:c>
      <x:c r="K11" s="8" t="n">
        <x:v>410000</x:v>
      </x:c>
      <x:c r="L11" s="23" t="n">
        <x:f>IF(H11=1,K11*Supuestos_Inversion!$B$3,0)</x:f>
        <x:v>2050000</x:v>
      </x:c>
    </x:row>
    <x:row r="12" ht="15" hidden="0">
      <x:c r="A12" s="3" t="s">
        <x:v>111</x:v>
      </x:c>
      <x:c r="B12" s="3" t="s">
        <x:v>112</x:v>
      </x:c>
      <x:c r="C12" s="3" t="s">
        <x:v>26</x:v>
      </x:c>
      <x:c r="D12" s="12" t="n">
        <x:v>3</x:v>
      </x:c>
      <x:c r="E12" s="3" t="s">
        <x:v>104</x:v>
      </x:c>
      <x:c r="F12" s="3" t="s">
        <x:v>105</x:v>
      </x:c>
      <x:c r="G12" s="3" t="s">
        <x:v>106</x:v>
      </x:c>
      <x:c r="H12" s="12" t="n">
        <x:v>1</x:v>
      </x:c>
      <x:c r="I12" s="5" t="n">
        <x:v>19000</x:v>
      </x:c>
      <x:c r="J12" s="5" t="n">
        <x:v>11020</x:v>
      </x:c>
      <x:c r="K12" s="5" t="n">
        <x:v>265000</x:v>
      </x:c>
      <x:c r="L12" s="22" t="n">
        <x:f>IF(H12=1,K12*Supuestos_Inversion!$B$3,0)</x:f>
        <x:v>1325000</x:v>
      </x:c>
    </x:row>
    <x:row r="13" ht="15" hidden="0">
      <x:c r="A13" s="6" t="s">
        <x:v>111</x:v>
      </x:c>
      <x:c r="B13" s="6" t="s">
        <x:v>112</x:v>
      </x:c>
      <x:c r="C13" s="6" t="s">
        <x:v>26</x:v>
      </x:c>
      <x:c r="D13" s="13" t="n">
        <x:v>3</x:v>
      </x:c>
      <x:c r="E13" s="6" t="s">
        <x:v>107</x:v>
      </x:c>
      <x:c r="F13" s="6" t="s">
        <x:v>108</x:v>
      </x:c>
      <x:c r="G13" s="6" t="s">
        <x:v>106</x:v>
      </x:c>
      <x:c r="H13" s="13" t="n">
        <x:v>1</x:v>
      </x:c>
      <x:c r="I13" s="8" t="n">
        <x:v>15000</x:v>
      </x:c>
      <x:c r="J13" s="8" t="n">
        <x:v>8700</x:v>
      </x:c>
      <x:c r="K13" s="8" t="n">
        <x:v>290000</x:v>
      </x:c>
      <x:c r="L13" s="23" t="n">
        <x:f>IF(H13=1,K13*Supuestos_Inversion!$B$3,0)</x:f>
        <x:v>1450000</x:v>
      </x:c>
    </x:row>
    <x:row r="14" ht="15" hidden="0">
      <x:c r="A14" s="3" t="s">
        <x:v>113</x:v>
      </x:c>
      <x:c r="B14" s="3" t="s">
        <x:v>114</x:v>
      </x:c>
      <x:c r="C14" s="3" t="s">
        <x:v>32</x:v>
      </x:c>
      <x:c r="D14" s="12" t="n">
        <x:v>2</x:v>
      </x:c>
      <x:c r="E14" s="3" t="s">
        <x:v>99</x:v>
      </x:c>
      <x:c r="F14" s="3" t="s">
        <x:v>100</x:v>
      </x:c>
      <x:c r="G14" s="3" t="s">
        <x:v>101</x:v>
      </x:c>
      <x:c r="H14" s="12" t="n">
        <x:v>1</x:v>
      </x:c>
      <x:c r="I14" s="5" t="n">
        <x:v>7500</x:v>
      </x:c>
      <x:c r="J14" s="5" t="n">
        <x:v>4350</x:v>
      </x:c>
      <x:c r="K14" s="5" t="n">
        <x:v>175000</x:v>
      </x:c>
      <x:c r="L14" s="22" t="n">
        <x:f>IF(H14=1,K14*Supuestos_Inversion!$B$3,0)</x:f>
        <x:v>875000</x:v>
      </x:c>
    </x:row>
    <x:row r="15" ht="15" hidden="0">
      <x:c r="A15" s="6" t="s">
        <x:v>113</x:v>
      </x:c>
      <x:c r="B15" s="6" t="s">
        <x:v>114</x:v>
      </x:c>
      <x:c r="C15" s="6" t="s">
        <x:v>32</x:v>
      </x:c>
      <x:c r="D15" s="13" t="n">
        <x:v>2</x:v>
      </x:c>
      <x:c r="E15" s="6" t="s">
        <x:v>102</x:v>
      </x:c>
      <x:c r="F15" s="6" t="s">
        <x:v>103</x:v>
      </x:c>
      <x:c r="G15" s="6" t="s">
        <x:v>101</x:v>
      </x:c>
      <x:c r="H15" s="13" t="n">
        <x:v>1</x:v>
      </x:c>
      <x:c r="I15" s="8" t="n">
        <x:v>16500</x:v>
      </x:c>
      <x:c r="J15" s="8" t="n">
        <x:v>9570</x:v>
      </x:c>
      <x:c r="K15" s="8" t="n">
        <x:v>295000</x:v>
      </x:c>
      <x:c r="L15" s="23" t="n">
        <x:f>IF(H15=1,K15*Supuestos_Inversion!$B$3,0)</x:f>
        <x:v>1475000</x:v>
      </x:c>
    </x:row>
    <x:row r="16" ht="15" hidden="0">
      <x:c r="A16" s="3" t="s">
        <x:v>113</x:v>
      </x:c>
      <x:c r="B16" s="3" t="s">
        <x:v>114</x:v>
      </x:c>
      <x:c r="C16" s="3" t="s">
        <x:v>32</x:v>
      </x:c>
      <x:c r="D16" s="12" t="n">
        <x:v>2</x:v>
      </x:c>
      <x:c r="E16" s="3" t="s">
        <x:v>104</x:v>
      </x:c>
      <x:c r="F16" s="3" t="s">
        <x:v>105</x:v>
      </x:c>
      <x:c r="G16" s="3" t="s">
        <x:v>106</x:v>
      </x:c>
      <x:c r="H16" s="12" t="n">
        <x:v>1</x:v>
      </x:c>
      <x:c r="I16" s="5" t="n">
        <x:v>14500</x:v>
      </x:c>
      <x:c r="J16" s="5" t="n">
        <x:v>8410</x:v>
      </x:c>
      <x:c r="K16" s="5" t="n">
        <x:v>220000</x:v>
      </x:c>
      <x:c r="L16" s="22" t="n">
        <x:f>IF(H16=1,K16*Supuestos_Inversion!$B$3,0)</x:f>
        <x:v>1100000</x:v>
      </x:c>
    </x:row>
    <x:row r="17" ht="15" hidden="0">
      <x:c r="A17" s="6" t="s">
        <x:v>113</x:v>
      </x:c>
      <x:c r="B17" s="6" t="s">
        <x:v>114</x:v>
      </x:c>
      <x:c r="C17" s="6" t="s">
        <x:v>32</x:v>
      </x:c>
      <x:c r="D17" s="13" t="n">
        <x:v>2</x:v>
      </x:c>
      <x:c r="E17" s="6" t="s">
        <x:v>107</x:v>
      </x:c>
      <x:c r="F17" s="6" t="s">
        <x:v>108</x:v>
      </x:c>
      <x:c r="G17" s="6" t="s">
        <x:v>106</x:v>
      </x:c>
      <x:c r="H17" s="13" t="n">
        <x:v>0</x:v>
      </x:c>
      <x:c r="I17" s="8" t="n">
        <x:v>0</x:v>
      </x:c>
      <x:c r="J17" s="8" t="n">
        <x:v>0</x:v>
      </x:c>
      <x:c r="K17" s="8" t="n">
        <x:v>999999</x:v>
      </x:c>
      <x:c r="L17" s="23" t="n">
        <x:f>IF(H17=1,K17*Supuestos_Inversion!$B$3,0)</x:f>
        <x:v>0</x:v>
      </x:c>
    </x:row>
    <x:row r="18" ht="15" hidden="0">
      <x:c r="A18" s="3" t="s">
        <x:v>115</x:v>
      </x:c>
      <x:c r="B18" s="3" t="s">
        <x:v>116</x:v>
      </x:c>
      <x:c r="C18" s="3" t="s">
        <x:v>38</x:v>
      </x:c>
      <x:c r="D18" s="12" t="n">
        <x:v>2</x:v>
      </x:c>
      <x:c r="E18" s="3" t="s">
        <x:v>99</x:v>
      </x:c>
      <x:c r="F18" s="3" t="s">
        <x:v>100</x:v>
      </x:c>
      <x:c r="G18" s="3" t="s">
        <x:v>101</x:v>
      </x:c>
      <x:c r="H18" s="12" t="n">
        <x:v>1</x:v>
      </x:c>
      <x:c r="I18" s="5" t="n">
        <x:v>8500</x:v>
      </x:c>
      <x:c r="J18" s="5" t="n">
        <x:v>4930</x:v>
      </x:c>
      <x:c r="K18" s="5" t="n">
        <x:v>190000</x:v>
      </x:c>
      <x:c r="L18" s="22" t="n">
        <x:f>IF(H18=1,K18*Supuestos_Inversion!$B$3,0)</x:f>
        <x:v>950000</x:v>
      </x:c>
    </x:row>
    <x:row r="19" ht="15" hidden="0">
      <x:c r="A19" s="6" t="s">
        <x:v>115</x:v>
      </x:c>
      <x:c r="B19" s="6" t="s">
        <x:v>116</x:v>
      </x:c>
      <x:c r="C19" s="6" t="s">
        <x:v>38</x:v>
      </x:c>
      <x:c r="D19" s="13" t="n">
        <x:v>2</x:v>
      </x:c>
      <x:c r="E19" s="6" t="s">
        <x:v>102</x:v>
      </x:c>
      <x:c r="F19" s="6" t="s">
        <x:v>103</x:v>
      </x:c>
      <x:c r="G19" s="6" t="s">
        <x:v>101</x:v>
      </x:c>
      <x:c r="H19" s="13" t="n">
        <x:v>1</x:v>
      </x:c>
      <x:c r="I19" s="8" t="n">
        <x:v>21000</x:v>
      </x:c>
      <x:c r="J19" s="8" t="n">
        <x:v>12180</x:v>
      </x:c>
      <x:c r="K19" s="8" t="n">
        <x:v>335000</x:v>
      </x:c>
      <x:c r="L19" s="23" t="n">
        <x:f>IF(H19=1,K19*Supuestos_Inversion!$B$3,0)</x:f>
        <x:v>1675000</x:v>
      </x:c>
    </x:row>
    <x:row r="20" ht="15" hidden="0">
      <x:c r="A20" s="3" t="s">
        <x:v>115</x:v>
      </x:c>
      <x:c r="B20" s="3" t="s">
        <x:v>116</x:v>
      </x:c>
      <x:c r="C20" s="3" t="s">
        <x:v>38</x:v>
      </x:c>
      <x:c r="D20" s="12" t="n">
        <x:v>2</x:v>
      </x:c>
      <x:c r="E20" s="3" t="s">
        <x:v>104</x:v>
      </x:c>
      <x:c r="F20" s="3" t="s">
        <x:v>105</x:v>
      </x:c>
      <x:c r="G20" s="3" t="s">
        <x:v>106</x:v>
      </x:c>
      <x:c r="H20" s="12" t="n">
        <x:v>0</x:v>
      </x:c>
      <x:c r="I20" s="5" t="n">
        <x:v>0</x:v>
      </x:c>
      <x:c r="J20" s="5" t="n">
        <x:v>0</x:v>
      </x:c>
      <x:c r="K20" s="5" t="n">
        <x:v>999999</x:v>
      </x:c>
      <x:c r="L20" s="22" t="n">
        <x:f>IF(H20=1,K20*Supuestos_Inversion!$B$3,0)</x:f>
        <x:v>0</x:v>
      </x:c>
    </x:row>
    <x:row r="21" ht="15" hidden="0">
      <x:c r="A21" s="6" t="s">
        <x:v>115</x:v>
      </x:c>
      <x:c r="B21" s="6" t="s">
        <x:v>116</x:v>
      </x:c>
      <x:c r="C21" s="6" t="s">
        <x:v>38</x:v>
      </x:c>
      <x:c r="D21" s="13" t="n">
        <x:v>2</x:v>
      </x:c>
      <x:c r="E21" s="6" t="s">
        <x:v>107</x:v>
      </x:c>
      <x:c r="F21" s="6" t="s">
        <x:v>108</x:v>
      </x:c>
      <x:c r="G21" s="6" t="s">
        <x:v>106</x:v>
      </x:c>
      <x:c r="H21" s="13" t="n">
        <x:v>1</x:v>
      </x:c>
      <x:c r="I21" s="8" t="n">
        <x:v>13500</x:v>
      </x:c>
      <x:c r="J21" s="8" t="n">
        <x:v>7830</x:v>
      </x:c>
      <x:c r="K21" s="8" t="n">
        <x:v>270000</x:v>
      </x:c>
      <x:c r="L21" s="23" t="n">
        <x:f>IF(H21=1,K21*Supuestos_Inversion!$B$3,0)</x:f>
        <x:v>1350000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7" hidden="0" customWidth="1"/>
    <x:col min="2" max="2" width="38" hidden="0" customWidth="1"/>
    <x:col min="3" max="3" width="19" hidden="0" customWidth="1"/>
    <x:col min="4" max="4" width="30" hidden="0" customWidth="1"/>
  </x:cols>
  <x:sheetData>
    <x:row r="1" ht="24" hidden="0" customHeight="1">
      <x:c r="A1" s="1" t="s">
        <x:v>90</x:v>
      </x:c>
      <x:c r="B1" s="1" t="s">
        <x:v>91</x:v>
      </x:c>
      <x:c r="C1" s="1" t="s">
        <x:v>117</x:v>
      </x:c>
      <x:c r="D1" s="2" t="s">
        <x:v>118</x:v>
      </x:c>
    </x:row>
    <x:row r="2" ht="15" hidden="0">
      <x:c r="A2" s="3" t="s">
        <x:v>99</x:v>
      </x:c>
      <x:c r="B2" s="3" t="s">
        <x:v>100</x:v>
      </x:c>
      <x:c r="C2" s="3" t="s">
        <x:v>101</x:v>
      </x:c>
      <x:c r="D2" s="5" t="n">
        <x:v>92</x:v>
      </x:c>
    </x:row>
    <x:row r="3" ht="15" hidden="0">
      <x:c r="A3" s="3" t="s">
        <x:v>102</x:v>
      </x:c>
      <x:c r="B3" s="3" t="s">
        <x:v>103</x:v>
      </x:c>
      <x:c r="C3" s="3" t="s">
        <x:v>101</x:v>
      </x:c>
      <x:c r="D3" s="5" t="n">
        <x:v>114</x:v>
      </x:c>
    </x:row>
    <x:row r="4" ht="15" hidden="0">
      <x:c r="A4" s="3" t="s">
        <x:v>104</x:v>
      </x:c>
      <x:c r="B4" s="3" t="s">
        <x:v>105</x:v>
      </x:c>
      <x:c r="C4" s="3" t="s">
        <x:v>106</x:v>
      </x:c>
      <x:c r="D4" s="5" t="n">
        <x:v>56</x:v>
      </x:c>
    </x:row>
    <x:row r="5" ht="15" hidden="0">
      <x:c r="A5" s="3" t="s">
        <x:v>107</x:v>
      </x:c>
      <x:c r="B5" s="3" t="s">
        <x:v>108</x:v>
      </x:c>
      <x:c r="C5" s="3" t="s">
        <x:v>106</x:v>
      </x:c>
      <x:c r="D5" s="5" t="n">
        <x:v>80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20" hidden="0" customWidth="1"/>
    <x:col min="2" max="2" width="15" hidden="0" customWidth="1"/>
    <x:col min="3" max="3" width="16" hidden="0" customWidth="1"/>
    <x:col min="4" max="4" width="23" hidden="0" customWidth="1"/>
    <x:col min="5" max="5" width="31" hidden="0" customWidth="1"/>
    <x:col min="6" max="6" width="27" hidden="0" customWidth="1"/>
  </x:cols>
  <x:sheetData>
    <x:row r="1" ht="24" hidden="0" customHeight="1">
      <x:c r="A1" s="1" t="s">
        <x:v>119</x:v>
      </x:c>
      <x:c r="B1" s="1" t="s">
        <x:v>120</x:v>
      </x:c>
      <x:c r="C1" s="1" t="s">
        <x:v>121</x:v>
      </x:c>
      <x:c r="D1" s="2" t="s">
        <x:v>122</x:v>
      </x:c>
      <x:c r="E1" s="2" t="s">
        <x:v>123</x:v>
      </x:c>
      <x:c r="F1" s="2" t="s">
        <x:v>124</x:v>
      </x:c>
    </x:row>
    <x:row r="2" ht="15" hidden="0">
      <x:c r="A2" s="3" t="s">
        <x:v>125</x:v>
      </x:c>
      <x:c r="B2" s="3" t="s">
        <x:v>10</x:v>
      </x:c>
      <x:c r="C2" s="3" t="s">
        <x:v>75</x:v>
      </x:c>
      <x:c r="D2" s="5" t="n">
        <x:v>236.4</x:v>
      </x:c>
      <x:c r="E2" s="14" t="n">
        <x:v>0.055</x:v>
      </x:c>
      <x:c r="F2" s="15" t="n">
        <x:v>18.5</x:v>
      </x:c>
    </x:row>
    <x:row r="3" ht="15" hidden="0">
      <x:c r="A3" s="3" t="s">
        <x:v>125</x:v>
      </x:c>
      <x:c r="B3" s="3" t="s">
        <x:v>10</x:v>
      </x:c>
      <x:c r="C3" s="3" t="s">
        <x:v>77</x:v>
      </x:c>
      <x:c r="D3" s="5" t="n">
        <x:v>701.7</x:v>
      </x:c>
      <x:c r="E3" s="14" t="n">
        <x:v>0.055</x:v>
      </x:c>
      <x:c r="F3" s="15" t="n">
        <x:v>44.09</x:v>
      </x:c>
    </x:row>
    <x:row r="4" ht="15" hidden="0">
      <x:c r="A4" s="3" t="s">
        <x:v>125</x:v>
      </x:c>
      <x:c r="B4" s="3" t="s">
        <x:v>10</x:v>
      </x:c>
      <x:c r="C4" s="3" t="s">
        <x:v>79</x:v>
      </x:c>
      <x:c r="D4" s="5" t="n">
        <x:v>1554.2</x:v>
      </x:c>
      <x:c r="E4" s="14" t="n">
        <x:v>0.055</x:v>
      </x:c>
      <x:c r="F4" s="15" t="n">
        <x:v>90.98</x:v>
      </x:c>
    </x:row>
    <x:row r="5" ht="15" hidden="0">
      <x:c r="A5" s="3" t="s">
        <x:v>125</x:v>
      </x:c>
      <x:c r="B5" s="3" t="s">
        <x:v>10</x:v>
      </x:c>
      <x:c r="C5" s="3" t="s">
        <x:v>81</x:v>
      </x:c>
      <x:c r="D5" s="5" t="n">
        <x:v>2009.6</x:v>
      </x:c>
      <x:c r="E5" s="14" t="n">
        <x:v>0.055</x:v>
      </x:c>
      <x:c r="F5" s="15" t="n">
        <x:v>116.03</x:v>
      </x:c>
    </x:row>
    <x:row r="6" ht="15" hidden="0">
      <x:c r="A6" s="3" t="s">
        <x:v>125</x:v>
      </x:c>
      <x:c r="B6" s="3" t="s">
        <x:v>10</x:v>
      </x:c>
      <x:c r="C6" s="3" t="s">
        <x:v>83</x:v>
      </x:c>
      <x:c r="D6" s="5" t="n">
        <x:v>2537.2</x:v>
      </x:c>
      <x:c r="E6" s="14" t="n">
        <x:v>0.055</x:v>
      </x:c>
      <x:c r="F6" s="15" t="n">
        <x:v>145.05</x:v>
      </x:c>
    </x:row>
    <x:row r="7" ht="15" hidden="0">
      <x:c r="A7" s="3" t="s">
        <x:v>125</x:v>
      </x:c>
      <x:c r="B7" s="3" t="s">
        <x:v>10</x:v>
      </x:c>
      <x:c r="C7" s="3" t="s">
        <x:v>85</x:v>
      </x:c>
      <x:c r="D7" s="5" t="n">
        <x:v>3133.8</x:v>
      </x:c>
      <x:c r="E7" s="14" t="n">
        <x:v>0.055</x:v>
      </x:c>
      <x:c r="F7" s="15" t="n">
        <x:v>177.86</x:v>
      </x:c>
    </x:row>
    <x:row r="8" ht="15" hidden="0">
      <x:c r="A8" s="3" t="s">
        <x:v>125</x:v>
      </x:c>
      <x:c r="B8" s="3" t="s">
        <x:v>13</x:v>
      </x:c>
      <x:c r="C8" s="3" t="s">
        <x:v>75</x:v>
      </x:c>
      <x:c r="D8" s="5" t="n">
        <x:v>35</x:v>
      </x:c>
      <x:c r="E8" s="14" t="n">
        <x:v>0.055</x:v>
      </x:c>
      <x:c r="F8" s="15" t="n">
        <x:v>7.42</x:v>
      </x:c>
    </x:row>
    <x:row r="9" ht="15" hidden="0">
      <x:c r="A9" s="3" t="s">
        <x:v>125</x:v>
      </x:c>
      <x:c r="B9" s="3" t="s">
        <x:v>13</x:v>
      </x:c>
      <x:c r="C9" s="3" t="s">
        <x:v>77</x:v>
      </x:c>
      <x:c r="D9" s="5" t="n">
        <x:v>467.2</x:v>
      </x:c>
      <x:c r="E9" s="14" t="n">
        <x:v>0.055</x:v>
      </x:c>
      <x:c r="F9" s="15" t="n">
        <x:v>31.2</x:v>
      </x:c>
    </x:row>
    <x:row r="10" ht="15" hidden="0">
      <x:c r="A10" s="3" t="s">
        <x:v>125</x:v>
      </x:c>
      <x:c r="B10" s="3" t="s">
        <x:v>13</x:v>
      </x:c>
      <x:c r="C10" s="3" t="s">
        <x:v>79</x:v>
      </x:c>
      <x:c r="D10" s="5" t="n">
        <x:v>1321.3</x:v>
      </x:c>
      <x:c r="E10" s="14" t="n">
        <x:v>0.055</x:v>
      </x:c>
      <x:c r="F10" s="15" t="n">
        <x:v>78.17</x:v>
      </x:c>
    </x:row>
    <x:row r="11" ht="15" hidden="0">
      <x:c r="A11" s="3" t="s">
        <x:v>125</x:v>
      </x:c>
      <x:c r="B11" s="3" t="s">
        <x:v>13</x:v>
      </x:c>
      <x:c r="C11" s="3" t="s">
        <x:v>81</x:v>
      </x:c>
      <x:c r="D11" s="5" t="n">
        <x:v>1775.1</x:v>
      </x:c>
      <x:c r="E11" s="14" t="n">
        <x:v>0.055</x:v>
      </x:c>
      <x:c r="F11" s="15" t="n">
        <x:v>103.13</x:v>
      </x:c>
    </x:row>
    <x:row r="12" ht="15" hidden="0">
      <x:c r="A12" s="3" t="s">
        <x:v>125</x:v>
      </x:c>
      <x:c r="B12" s="3" t="s">
        <x:v>13</x:v>
      </x:c>
      <x:c r="C12" s="3" t="s">
        <x:v>83</x:v>
      </x:c>
      <x:c r="D12" s="5" t="n">
        <x:v>2306.4</x:v>
      </x:c>
      <x:c r="E12" s="14" t="n">
        <x:v>0.055</x:v>
      </x:c>
      <x:c r="F12" s="15" t="n">
        <x:v>132.35</x:v>
      </x:c>
    </x:row>
    <x:row r="13" ht="15" hidden="0">
      <x:c r="A13" s="3" t="s">
        <x:v>125</x:v>
      </x:c>
      <x:c r="B13" s="3" t="s">
        <x:v>13</x:v>
      </x:c>
      <x:c r="C13" s="3" t="s">
        <x:v>85</x:v>
      </x:c>
      <x:c r="D13" s="5" t="n">
        <x:v>2901.2</x:v>
      </x:c>
      <x:c r="E13" s="14" t="n">
        <x:v>0.055</x:v>
      </x:c>
      <x:c r="F13" s="15" t="n">
        <x:v>165.07</x:v>
      </x:c>
    </x:row>
    <x:row r="14" ht="15" hidden="0">
      <x:c r="A14" s="3" t="s">
        <x:v>125</x:v>
      </x:c>
      <x:c r="B14" s="3" t="s">
        <x:v>16</x:v>
      </x:c>
      <x:c r="C14" s="3" t="s">
        <x:v>75</x:v>
      </x:c>
      <x:c r="D14" s="5" t="n">
        <x:v>467.2</x:v>
      </x:c>
      <x:c r="E14" s="14" t="n">
        <x:v>0.055</x:v>
      </x:c>
      <x:c r="F14" s="15" t="n">
        <x:v>31.2</x:v>
      </x:c>
    </x:row>
    <x:row r="15" ht="15" hidden="0">
      <x:c r="A15" s="3" t="s">
        <x:v>125</x:v>
      </x:c>
      <x:c r="B15" s="3" t="s">
        <x:v>16</x:v>
      </x:c>
      <x:c r="C15" s="3" t="s">
        <x:v>77</x:v>
      </x:c>
      <x:c r="D15" s="5" t="n">
        <x:v>35</x:v>
      </x:c>
      <x:c r="E15" s="14" t="n">
        <x:v>0.055</x:v>
      </x:c>
      <x:c r="F15" s="15" t="n">
        <x:v>7.42</x:v>
      </x:c>
    </x:row>
    <x:row r="16" ht="15" hidden="0">
      <x:c r="A16" s="3" t="s">
        <x:v>125</x:v>
      </x:c>
      <x:c r="B16" s="3" t="s">
        <x:v>16</x:v>
      </x:c>
      <x:c r="C16" s="3" t="s">
        <x:v>79</x:v>
      </x:c>
      <x:c r="D16" s="5" t="n">
        <x:v>854.5</x:v>
      </x:c>
      <x:c r="E16" s="14" t="n">
        <x:v>0.055</x:v>
      </x:c>
      <x:c r="F16" s="15" t="n">
        <x:v>52.5</x:v>
      </x:c>
    </x:row>
    <x:row r="17" ht="15" hidden="0">
      <x:c r="A17" s="3" t="s">
        <x:v>125</x:v>
      </x:c>
      <x:c r="B17" s="3" t="s">
        <x:v>16</x:v>
      </x:c>
      <x:c r="C17" s="3" t="s">
        <x:v>81</x:v>
      </x:c>
      <x:c r="D17" s="5" t="n">
        <x:v>1308</x:v>
      </x:c>
      <x:c r="E17" s="14" t="n">
        <x:v>0.055</x:v>
      </x:c>
      <x:c r="F17" s="15" t="n">
        <x:v>77.44</x:v>
      </x:c>
    </x:row>
    <x:row r="18" ht="15" hidden="0">
      <x:c r="A18" s="3" t="s">
        <x:v>125</x:v>
      </x:c>
      <x:c r="B18" s="3" t="s">
        <x:v>16</x:v>
      </x:c>
      <x:c r="C18" s="3" t="s">
        <x:v>83</x:v>
      </x:c>
      <x:c r="D18" s="5" t="n">
        <x:v>1841</x:v>
      </x:c>
      <x:c r="E18" s="14" t="n">
        <x:v>0.055</x:v>
      </x:c>
      <x:c r="F18" s="15" t="n">
        <x:v>106.75</x:v>
      </x:c>
    </x:row>
    <x:row r="19" ht="15" hidden="0">
      <x:c r="A19" s="3" t="s">
        <x:v>125</x:v>
      </x:c>
      <x:c r="B19" s="3" t="s">
        <x:v>16</x:v>
      </x:c>
      <x:c r="C19" s="3" t="s">
        <x:v>85</x:v>
      </x:c>
      <x:c r="D19" s="5" t="n">
        <x:v>2434.4</x:v>
      </x:c>
      <x:c r="E19" s="14" t="n">
        <x:v>0.055</x:v>
      </x:c>
      <x:c r="F19" s="15" t="n">
        <x:v>139.39</x:v>
      </x:c>
    </x:row>
    <x:row r="20" ht="15" hidden="0">
      <x:c r="A20" s="3" t="s">
        <x:v>125</x:v>
      </x:c>
      <x:c r="B20" s="3" t="s">
        <x:v>18</x:v>
      </x:c>
      <x:c r="C20" s="3" t="s">
        <x:v>75</x:v>
      </x:c>
      <x:c r="D20" s="5" t="n">
        <x:v>970.6</x:v>
      </x:c>
      <x:c r="E20" s="14" t="n">
        <x:v>0.055</x:v>
      </x:c>
      <x:c r="F20" s="15" t="n">
        <x:v>58.88</x:v>
      </x:c>
    </x:row>
    <x:row r="21" ht="15" hidden="0">
      <x:c r="A21" s="3" t="s">
        <x:v>125</x:v>
      </x:c>
      <x:c r="B21" s="3" t="s">
        <x:v>18</x:v>
      </x:c>
      <x:c r="C21" s="3" t="s">
        <x:v>77</x:v>
      </x:c>
      <x:c r="D21" s="5" t="n">
        <x:v>504.3</x:v>
      </x:c>
      <x:c r="E21" s="14" t="n">
        <x:v>0.055</x:v>
      </x:c>
      <x:c r="F21" s="15" t="n">
        <x:v>33.24</x:v>
      </x:c>
    </x:row>
    <x:row r="22" ht="15" hidden="0">
      <x:c r="A22" s="3" t="s">
        <x:v>125</x:v>
      </x:c>
      <x:c r="B22" s="3" t="s">
        <x:v>18</x:v>
      </x:c>
      <x:c r="C22" s="3" t="s">
        <x:v>79</x:v>
      </x:c>
      <x:c r="D22" s="5" t="n">
        <x:v>361</x:v>
      </x:c>
      <x:c r="E22" s="14" t="n">
        <x:v>0.055</x:v>
      </x:c>
      <x:c r="F22" s="15" t="n">
        <x:v>25.36</x:v>
      </x:c>
    </x:row>
    <x:row r="23" ht="15" hidden="0">
      <x:c r="A23" s="3" t="s">
        <x:v>125</x:v>
      </x:c>
      <x:c r="B23" s="3" t="s">
        <x:v>18</x:v>
      </x:c>
      <x:c r="C23" s="3" t="s">
        <x:v>81</x:v>
      </x:c>
      <x:c r="D23" s="5" t="n">
        <x:v>805.1</x:v>
      </x:c>
      <x:c r="E23" s="14" t="n">
        <x:v>0.055</x:v>
      </x:c>
      <x:c r="F23" s="15" t="n">
        <x:v>49.78</x:v>
      </x:c>
    </x:row>
    <x:row r="24" ht="15" hidden="0">
      <x:c r="A24" s="3" t="s">
        <x:v>125</x:v>
      </x:c>
      <x:c r="B24" s="3" t="s">
        <x:v>18</x:v>
      </x:c>
      <x:c r="C24" s="3" t="s">
        <x:v>83</x:v>
      </x:c>
      <x:c r="D24" s="5" t="n">
        <x:v>1347.7</x:v>
      </x:c>
      <x:c r="E24" s="14" t="n">
        <x:v>0.055</x:v>
      </x:c>
      <x:c r="F24" s="15" t="n">
        <x:v>79.62</x:v>
      </x:c>
    </x:row>
    <x:row r="25" ht="15" hidden="0">
      <x:c r="A25" s="3" t="s">
        <x:v>125</x:v>
      </x:c>
      <x:c r="B25" s="3" t="s">
        <x:v>18</x:v>
      </x:c>
      <x:c r="C25" s="3" t="s">
        <x:v>85</x:v>
      </x:c>
      <x:c r="D25" s="5" t="n">
        <x:v>1934.9</x:v>
      </x:c>
      <x:c r="E25" s="14" t="n">
        <x:v>0.055</x:v>
      </x:c>
      <x:c r="F25" s="15" t="n">
        <x:v>111.92</x:v>
      </x:c>
    </x:row>
    <x:row r="26" ht="15" hidden="0">
      <x:c r="A26" s="3" t="s">
        <x:v>125</x:v>
      </x:c>
      <x:c r="B26" s="3" t="s">
        <x:v>21</x:v>
      </x:c>
      <x:c r="C26" s="3" t="s">
        <x:v>75</x:v>
      </x:c>
      <x:c r="D26" s="5" t="n">
        <x:v>1321.3</x:v>
      </x:c>
      <x:c r="E26" s="14" t="n">
        <x:v>0.055</x:v>
      </x:c>
      <x:c r="F26" s="15" t="n">
        <x:v>78.17</x:v>
      </x:c>
    </x:row>
    <x:row r="27" ht="15" hidden="0">
      <x:c r="A27" s="3" t="s">
        <x:v>125</x:v>
      </x:c>
      <x:c r="B27" s="3" t="s">
        <x:v>21</x:v>
      </x:c>
      <x:c r="C27" s="3" t="s">
        <x:v>77</x:v>
      </x:c>
      <x:c r="D27" s="5" t="n">
        <x:v>854.5</x:v>
      </x:c>
      <x:c r="E27" s="14" t="n">
        <x:v>0.055</x:v>
      </x:c>
      <x:c r="F27" s="15" t="n">
        <x:v>52.5</x:v>
      </x:c>
    </x:row>
    <x:row r="28" ht="15" hidden="0">
      <x:c r="A28" s="3" t="s">
        <x:v>125</x:v>
      </x:c>
      <x:c r="B28" s="3" t="s">
        <x:v>21</x:v>
      </x:c>
      <x:c r="C28" s="3" t="s">
        <x:v>79</x:v>
      </x:c>
      <x:c r="D28" s="5" t="n">
        <x:v>35</x:v>
      </x:c>
      <x:c r="E28" s="14" t="n">
        <x:v>0.055</x:v>
      </x:c>
      <x:c r="F28" s="15" t="n">
        <x:v>7.42</x:v>
      </x:c>
    </x:row>
    <x:row r="29" ht="15" hidden="0">
      <x:c r="A29" s="3" t="s">
        <x:v>125</x:v>
      </x:c>
      <x:c r="B29" s="3" t="s">
        <x:v>21</x:v>
      </x:c>
      <x:c r="C29" s="3" t="s">
        <x:v>81</x:v>
      </x:c>
      <x:c r="D29" s="5" t="n">
        <x:v>460.6</x:v>
      </x:c>
      <x:c r="E29" s="14" t="n">
        <x:v>0.055</x:v>
      </x:c>
      <x:c r="F29" s="15" t="n">
        <x:v>30.83</x:v>
      </x:c>
    </x:row>
    <x:row r="30" ht="15" hidden="0">
      <x:c r="A30" s="3" t="s">
        <x:v>125</x:v>
      </x:c>
      <x:c r="B30" s="3" t="s">
        <x:v>21</x:v>
      </x:c>
      <x:c r="C30" s="3" t="s">
        <x:v>83</x:v>
      </x:c>
      <x:c r="D30" s="5" t="n">
        <x:v>988.1</x:v>
      </x:c>
      <x:c r="E30" s="14" t="n">
        <x:v>0.055</x:v>
      </x:c>
      <x:c r="F30" s="15" t="n">
        <x:v>59.85</x:v>
      </x:c>
    </x:row>
    <x:row r="31" ht="15" hidden="0">
      <x:c r="A31" s="3" t="s">
        <x:v>125</x:v>
      </x:c>
      <x:c r="B31" s="3" t="s">
        <x:v>21</x:v>
      </x:c>
      <x:c r="C31" s="3" t="s">
        <x:v>85</x:v>
      </x:c>
      <x:c r="D31" s="5" t="n">
        <x:v>1579.9</x:v>
      </x:c>
      <x:c r="E31" s="14" t="n">
        <x:v>0.055</x:v>
      </x:c>
      <x:c r="F31" s="15" t="n">
        <x:v>92.39</x:v>
      </x:c>
    </x:row>
    <x:row r="32" ht="15" hidden="0">
      <x:c r="A32" s="3" t="s">
        <x:v>125</x:v>
      </x:c>
      <x:c r="B32" s="3" t="s">
        <x:v>24</x:v>
      </x:c>
      <x:c r="C32" s="3" t="s">
        <x:v>75</x:v>
      </x:c>
      <x:c r="D32" s="5" t="n">
        <x:v>1749.8</x:v>
      </x:c>
      <x:c r="E32" s="14" t="n">
        <x:v>0.055</x:v>
      </x:c>
      <x:c r="F32" s="15" t="n">
        <x:v>101.74</x:v>
      </x:c>
    </x:row>
    <x:row r="33" ht="15" hidden="0">
      <x:c r="A33" s="3" t="s">
        <x:v>125</x:v>
      </x:c>
      <x:c r="B33" s="3" t="s">
        <x:v>24</x:v>
      </x:c>
      <x:c r="C33" s="3" t="s">
        <x:v>77</x:v>
      </x:c>
      <x:c r="D33" s="5" t="n">
        <x:v>1282.9</x:v>
      </x:c>
      <x:c r="E33" s="14" t="n">
        <x:v>0.055</x:v>
      </x:c>
      <x:c r="F33" s="15" t="n">
        <x:v>76.06</x:v>
      </x:c>
    </x:row>
    <x:row r="34" ht="15" hidden="0">
      <x:c r="A34" s="3" t="s">
        <x:v>125</x:v>
      </x:c>
      <x:c r="B34" s="3" t="s">
        <x:v>24</x:v>
      </x:c>
      <x:c r="C34" s="3" t="s">
        <x:v>79</x:v>
      </x:c>
      <x:c r="D34" s="5" t="n">
        <x:v>428.5</x:v>
      </x:c>
      <x:c r="E34" s="14" t="n">
        <x:v>0.055</x:v>
      </x:c>
      <x:c r="F34" s="15" t="n">
        <x:v>29.07</x:v>
      </x:c>
    </x:row>
    <x:row r="35" ht="15" hidden="0">
      <x:c r="A35" s="3" t="s">
        <x:v>125</x:v>
      </x:c>
      <x:c r="B35" s="3" t="s">
        <x:v>24</x:v>
      </x:c>
      <x:c r="C35" s="3" t="s">
        <x:v>81</x:v>
      </x:c>
      <x:c r="D35" s="5" t="n">
        <x:v>89.6</x:v>
      </x:c>
      <x:c r="E35" s="14" t="n">
        <x:v>0.055</x:v>
      </x:c>
      <x:c r="F35" s="15" t="n">
        <x:v>10.43</x:v>
      </x:c>
    </x:row>
    <x:row r="36" ht="15" hidden="0">
      <x:c r="A36" s="3" t="s">
        <x:v>125</x:v>
      </x:c>
      <x:c r="B36" s="3" t="s">
        <x:v>24</x:v>
      </x:c>
      <x:c r="C36" s="3" t="s">
        <x:v>83</x:v>
      </x:c>
      <x:c r="D36" s="5" t="n">
        <x:v>564.3</x:v>
      </x:c>
      <x:c r="E36" s="14" t="n">
        <x:v>0.055</x:v>
      </x:c>
      <x:c r="F36" s="15" t="n">
        <x:v>36.54</x:v>
      </x:c>
    </x:row>
    <x:row r="37" ht="15" hidden="0">
      <x:c r="A37" s="3" t="s">
        <x:v>125</x:v>
      </x:c>
      <x:c r="B37" s="3" t="s">
        <x:v>24</x:v>
      </x:c>
      <x:c r="C37" s="3" t="s">
        <x:v>85</x:v>
      </x:c>
      <x:c r="D37" s="5" t="n">
        <x:v>1151.4</x:v>
      </x:c>
      <x:c r="E37" s="14" t="n">
        <x:v>0.055</x:v>
      </x:c>
      <x:c r="F37" s="15" t="n">
        <x:v>68.83</x:v>
      </x:c>
    </x:row>
    <x:row r="38" ht="15" hidden="0">
      <x:c r="A38" s="3" t="s">
        <x:v>125</x:v>
      </x:c>
      <x:c r="B38" s="3" t="s">
        <x:v>26</x:v>
      </x:c>
      <x:c r="C38" s="3" t="s">
        <x:v>75</x:v>
      </x:c>
      <x:c r="D38" s="5" t="n">
        <x:v>1796.5</x:v>
      </x:c>
      <x:c r="E38" s="14" t="n">
        <x:v>0.055</x:v>
      </x:c>
      <x:c r="F38" s="15" t="n">
        <x:v>104.31</x:v>
      </x:c>
    </x:row>
    <x:row r="39" ht="15" hidden="0">
      <x:c r="A39" s="3" t="s">
        <x:v>125</x:v>
      </x:c>
      <x:c r="B39" s="3" t="s">
        <x:v>26</x:v>
      </x:c>
      <x:c r="C39" s="3" t="s">
        <x:v>77</x:v>
      </x:c>
      <x:c r="D39" s="5" t="n">
        <x:v>1329.7</x:v>
      </x:c>
      <x:c r="E39" s="14" t="n">
        <x:v>0.055</x:v>
      </x:c>
      <x:c r="F39" s="15" t="n">
        <x:v>78.63</x:v>
      </x:c>
    </x:row>
    <x:row r="40" ht="15" hidden="0">
      <x:c r="A40" s="3" t="s">
        <x:v>125</x:v>
      </x:c>
      <x:c r="B40" s="3" t="s">
        <x:v>26</x:v>
      </x:c>
      <x:c r="C40" s="3" t="s">
        <x:v>79</x:v>
      </x:c>
      <x:c r="D40" s="5" t="n">
        <x:v>485.7</x:v>
      </x:c>
      <x:c r="E40" s="14" t="n">
        <x:v>0.055</x:v>
      </x:c>
      <x:c r="F40" s="15" t="n">
        <x:v>32.21</x:v>
      </x:c>
    </x:row>
    <x:row r="41" ht="15" hidden="0">
      <x:c r="A41" s="3" t="s">
        <x:v>125</x:v>
      </x:c>
      <x:c r="B41" s="3" t="s">
        <x:v>26</x:v>
      </x:c>
      <x:c r="C41" s="3" t="s">
        <x:v>81</x:v>
      </x:c>
      <x:c r="D41" s="5" t="n">
        <x:v>35</x:v>
      </x:c>
      <x:c r="E41" s="14" t="n">
        <x:v>0.055</x:v>
      </x:c>
      <x:c r="F41" s="15" t="n">
        <x:v>7.42</x:v>
      </x:c>
    </x:row>
    <x:row r="42" ht="15" hidden="0">
      <x:c r="A42" s="3" t="s">
        <x:v>125</x:v>
      </x:c>
      <x:c r="B42" s="3" t="s">
        <x:v>26</x:v>
      </x:c>
      <x:c r="C42" s="3" t="s">
        <x:v>83</x:v>
      </x:c>
      <x:c r="D42" s="5" t="n">
        <x:v>555.5</x:v>
      </x:c>
      <x:c r="E42" s="14" t="n">
        <x:v>0.055</x:v>
      </x:c>
      <x:c r="F42" s="15" t="n">
        <x:v>36.05</x:v>
      </x:c>
    </x:row>
    <x:row r="43" ht="15" hidden="0">
      <x:c r="A43" s="3" t="s">
        <x:v>125</x:v>
      </x:c>
      <x:c r="B43" s="3" t="s">
        <x:v>26</x:v>
      </x:c>
      <x:c r="C43" s="3" t="s">
        <x:v>85</x:v>
      </x:c>
      <x:c r="D43" s="5" t="n">
        <x:v>1115</x:v>
      </x:c>
      <x:c r="E43" s="14" t="n">
        <x:v>0.055</x:v>
      </x:c>
      <x:c r="F43" s="15" t="n">
        <x:v>66.83</x:v>
      </x:c>
    </x:row>
    <x:row r="44" ht="15" hidden="0">
      <x:c r="A44" s="3" t="s">
        <x:v>125</x:v>
      </x:c>
      <x:c r="B44" s="3" t="s">
        <x:v>29</x:v>
      </x:c>
      <x:c r="C44" s="3" t="s">
        <x:v>75</x:v>
      </x:c>
      <x:c r="D44" s="5" t="n">
        <x:v>1894.6</x:v>
      </x:c>
      <x:c r="E44" s="14" t="n">
        <x:v>0.055</x:v>
      </x:c>
      <x:c r="F44" s="15" t="n">
        <x:v>109.7</x:v>
      </x:c>
    </x:row>
    <x:row r="45" ht="15" hidden="0">
      <x:c r="A45" s="3" t="s">
        <x:v>125</x:v>
      </x:c>
      <x:c r="B45" s="3" t="s">
        <x:v>29</x:v>
      </x:c>
      <x:c r="C45" s="3" t="s">
        <x:v>77</x:v>
      </x:c>
      <x:c r="D45" s="5" t="n">
        <x:v>1427.7</x:v>
      </x:c>
      <x:c r="E45" s="14" t="n">
        <x:v>0.055</x:v>
      </x:c>
      <x:c r="F45" s="15" t="n">
        <x:v>84.02</x:v>
      </x:c>
    </x:row>
    <x:row r="46" ht="15" hidden="0">
      <x:c r="A46" s="3" t="s">
        <x:v>125</x:v>
      </x:c>
      <x:c r="B46" s="3" t="s">
        <x:v>29</x:v>
      </x:c>
      <x:c r="C46" s="3" t="s">
        <x:v>79</x:v>
      </x:c>
      <x:c r="D46" s="5" t="n">
        <x:v>581.8</x:v>
      </x:c>
      <x:c r="E46" s="14" t="n">
        <x:v>0.055</x:v>
      </x:c>
      <x:c r="F46" s="15" t="n">
        <x:v>37.5</x:v>
      </x:c>
    </x:row>
    <x:row r="47" ht="15" hidden="0">
      <x:c r="A47" s="3" t="s">
        <x:v>125</x:v>
      </x:c>
      <x:c r="B47" s="3" t="s">
        <x:v>29</x:v>
      </x:c>
      <x:c r="C47" s="3" t="s">
        <x:v>81</x:v>
      </x:c>
      <x:c r="D47" s="5" t="n">
        <x:v>121.3</x:v>
      </x:c>
      <x:c r="E47" s="14" t="n">
        <x:v>0.055</x:v>
      </x:c>
      <x:c r="F47" s="15" t="n">
        <x:v>12.17</x:v>
      </x:c>
    </x:row>
    <x:row r="48" ht="15" hidden="0">
      <x:c r="A48" s="3" t="s">
        <x:v>125</x:v>
      </x:c>
      <x:c r="B48" s="3" t="s">
        <x:v>29</x:v>
      </x:c>
      <x:c r="C48" s="3" t="s">
        <x:v>83</x:v>
      </x:c>
      <x:c r="D48" s="5" t="n">
        <x:v>467.6</x:v>
      </x:c>
      <x:c r="E48" s="14" t="n">
        <x:v>0.055</x:v>
      </x:c>
      <x:c r="F48" s="15" t="n">
        <x:v>31.22</x:v>
      </x:c>
    </x:row>
    <x:row r="49" ht="15" hidden="0">
      <x:c r="A49" s="3" t="s">
        <x:v>125</x:v>
      </x:c>
      <x:c r="B49" s="3" t="s">
        <x:v>29</x:v>
      </x:c>
      <x:c r="C49" s="3" t="s">
        <x:v>85</x:v>
      </x:c>
      <x:c r="D49" s="5" t="n">
        <x:v>1017.8</x:v>
      </x:c>
      <x:c r="E49" s="14" t="n">
        <x:v>0.055</x:v>
      </x:c>
      <x:c r="F49" s="15" t="n">
        <x:v>61.48</x:v>
      </x:c>
    </x:row>
    <x:row r="50" ht="15" hidden="0">
      <x:c r="A50" s="3" t="s">
        <x:v>125</x:v>
      </x:c>
      <x:c r="B50" s="3" t="s">
        <x:v>32</x:v>
      </x:c>
      <x:c r="C50" s="3" t="s">
        <x:v>75</x:v>
      </x:c>
      <x:c r="D50" s="5" t="n">
        <x:v>2071.4</x:v>
      </x:c>
      <x:c r="E50" s="14" t="n">
        <x:v>0.055</x:v>
      </x:c>
      <x:c r="F50" s="15" t="n">
        <x:v>119.43</x:v>
      </x:c>
    </x:row>
    <x:row r="51" ht="15" hidden="0">
      <x:c r="A51" s="3" t="s">
        <x:v>125</x:v>
      </x:c>
      <x:c r="B51" s="3" t="s">
        <x:v>32</x:v>
      </x:c>
      <x:c r="C51" s="3" t="s">
        <x:v>77</x:v>
      </x:c>
      <x:c r="D51" s="5" t="n">
        <x:v>1604.3</x:v>
      </x:c>
      <x:c r="E51" s="14" t="n">
        <x:v>0.055</x:v>
      </x:c>
      <x:c r="F51" s="15" t="n">
        <x:v>93.74</x:v>
      </x:c>
    </x:row>
    <x:row r="52" ht="15" hidden="0">
      <x:c r="A52" s="3" t="s">
        <x:v>125</x:v>
      </x:c>
      <x:c r="B52" s="3" t="s">
        <x:v>32</x:v>
      </x:c>
      <x:c r="C52" s="3" t="s">
        <x:v>79</x:v>
      </x:c>
      <x:c r="D52" s="5" t="n">
        <x:v>750.6</x:v>
      </x:c>
      <x:c r="E52" s="14" t="n">
        <x:v>0.055</x:v>
      </x:c>
      <x:c r="F52" s="15" t="n">
        <x:v>46.78</x:v>
      </x:c>
    </x:row>
    <x:row r="53" ht="15" hidden="0">
      <x:c r="A53" s="3" t="s">
        <x:v>125</x:v>
      </x:c>
      <x:c r="B53" s="3" t="s">
        <x:v>32</x:v>
      </x:c>
      <x:c r="C53" s="3" t="s">
        <x:v>81</x:v>
      </x:c>
      <x:c r="D53" s="5" t="n">
        <x:v>303.5</x:v>
      </x:c>
      <x:c r="E53" s="14" t="n">
        <x:v>0.055</x:v>
      </x:c>
      <x:c r="F53" s="15" t="n">
        <x:v>22.19</x:v>
      </x:c>
    </x:row>
    <x:row r="54" ht="15" hidden="0">
      <x:c r="A54" s="3" t="s">
        <x:v>125</x:v>
      </x:c>
      <x:c r="B54" s="3" t="s">
        <x:v>32</x:v>
      </x:c>
      <x:c r="C54" s="3" t="s">
        <x:v>83</x:v>
      </x:c>
      <x:c r="D54" s="5" t="n">
        <x:v>269.6</x:v>
      </x:c>
      <x:c r="E54" s="14" t="n">
        <x:v>0.055</x:v>
      </x:c>
      <x:c r="F54" s="15" t="n">
        <x:v>20.33</x:v>
      </x:c>
    </x:row>
    <x:row r="55" ht="15" hidden="0">
      <x:c r="A55" s="3" t="s">
        <x:v>125</x:v>
      </x:c>
      <x:c r="B55" s="3" t="s">
        <x:v>32</x:v>
      </x:c>
      <x:c r="C55" s="3" t="s">
        <x:v>85</x:v>
      </x:c>
      <x:c r="D55" s="5" t="n">
        <x:v>831.1</x:v>
      </x:c>
      <x:c r="E55" s="14" t="n">
        <x:v>0.055</x:v>
      </x:c>
      <x:c r="F55" s="15" t="n">
        <x:v>51.21</x:v>
      </x:c>
    </x:row>
    <x:row r="56" ht="15" hidden="0">
      <x:c r="A56" s="3" t="s">
        <x:v>125</x:v>
      </x:c>
      <x:c r="B56" s="3" t="s">
        <x:v>35</x:v>
      </x:c>
      <x:c r="C56" s="3" t="s">
        <x:v>75</x:v>
      </x:c>
      <x:c r="D56" s="5" t="n">
        <x:v>2235.7</x:v>
      </x:c>
      <x:c r="E56" s="14" t="n">
        <x:v>0.055</x:v>
      </x:c>
      <x:c r="F56" s="15" t="n">
        <x:v>128.46</x:v>
      </x:c>
    </x:row>
    <x:row r="57" ht="15" hidden="0">
      <x:c r="A57" s="3" t="s">
        <x:v>125</x:v>
      </x:c>
      <x:c r="B57" s="3" t="s">
        <x:v>35</x:v>
      </x:c>
      <x:c r="C57" s="3" t="s">
        <x:v>77</x:v>
      </x:c>
      <x:c r="D57" s="5" t="n">
        <x:v>1768.8</x:v>
      </x:c>
      <x:c r="E57" s="14" t="n">
        <x:v>0.055</x:v>
      </x:c>
      <x:c r="F57" s="15" t="n">
        <x:v>102.78</x:v>
      </x:c>
    </x:row>
    <x:row r="58" ht="15" hidden="0">
      <x:c r="A58" s="3" t="s">
        <x:v>125</x:v>
      </x:c>
      <x:c r="B58" s="3" t="s">
        <x:v>35</x:v>
      </x:c>
      <x:c r="C58" s="3" t="s">
        <x:v>79</x:v>
      </x:c>
      <x:c r="D58" s="5" t="n">
        <x:v>914.4</x:v>
      </x:c>
      <x:c r="E58" s="14" t="n">
        <x:v>0.055</x:v>
      </x:c>
      <x:c r="F58" s="15" t="n">
        <x:v>55.79</x:v>
      </x:c>
    </x:row>
    <x:row r="59" ht="15" hidden="0">
      <x:c r="A59" s="3" t="s">
        <x:v>125</x:v>
      </x:c>
      <x:c r="B59" s="3" t="s">
        <x:v>35</x:v>
      </x:c>
      <x:c r="C59" s="3" t="s">
        <x:v>81</x:v>
      </x:c>
      <x:c r="D59" s="5" t="n">
        <x:v>471</x:v>
      </x:c>
      <x:c r="E59" s="14" t="n">
        <x:v>0.055</x:v>
      </x:c>
      <x:c r="F59" s="15" t="n">
        <x:v>31.41</x:v>
      </x:c>
    </x:row>
    <x:row r="60" ht="15" hidden="0">
      <x:c r="A60" s="3" t="s">
        <x:v>125</x:v>
      </x:c>
      <x:c r="B60" s="3" t="s">
        <x:v>35</x:v>
      </x:c>
      <x:c r="C60" s="3" t="s">
        <x:v>83</x:v>
      </x:c>
      <x:c r="D60" s="5" t="n">
        <x:v>124.9</x:v>
      </x:c>
      <x:c r="E60" s="14" t="n">
        <x:v>0.055</x:v>
      </x:c>
      <x:c r="F60" s="15" t="n">
        <x:v>12.37</x:v>
      </x:c>
    </x:row>
    <x:row r="61" ht="15" hidden="0">
      <x:c r="A61" s="3" t="s">
        <x:v>125</x:v>
      </x:c>
      <x:c r="B61" s="3" t="s">
        <x:v>35</x:v>
      </x:c>
      <x:c r="C61" s="3" t="s">
        <x:v>85</x:v>
      </x:c>
      <x:c r="D61" s="5" t="n">
        <x:v>665.6</x:v>
      </x:c>
      <x:c r="E61" s="14" t="n">
        <x:v>0.055</x:v>
      </x:c>
      <x:c r="F61" s="15" t="n">
        <x:v>42.11</x:v>
      </x:c>
    </x:row>
    <x:row r="62" ht="15" hidden="0">
      <x:c r="A62" s="3" t="s">
        <x:v>125</x:v>
      </x:c>
      <x:c r="B62" s="3" t="s">
        <x:v>38</x:v>
      </x:c>
      <x:c r="C62" s="3" t="s">
        <x:v>75</x:v>
      </x:c>
      <x:c r="D62" s="5" t="n">
        <x:v>2278.6</x:v>
      </x:c>
      <x:c r="E62" s="14" t="n">
        <x:v>0.055</x:v>
      </x:c>
      <x:c r="F62" s="15" t="n">
        <x:v>130.82</x:v>
      </x:c>
    </x:row>
    <x:row r="63" ht="15" hidden="0">
      <x:c r="A63" s="3" t="s">
        <x:v>125</x:v>
      </x:c>
      <x:c r="B63" s="3" t="s">
        <x:v>38</x:v>
      </x:c>
      <x:c r="C63" s="3" t="s">
        <x:v>77</x:v>
      </x:c>
      <x:c r="D63" s="5" t="n">
        <x:v>1813.1</x:v>
      </x:c>
      <x:c r="E63" s="14" t="n">
        <x:v>0.055</x:v>
      </x:c>
      <x:c r="F63" s="15" t="n">
        <x:v>105.22</x:v>
      </x:c>
    </x:row>
    <x:row r="64" ht="15" hidden="0">
      <x:c r="A64" s="3" t="s">
        <x:v>125</x:v>
      </x:c>
      <x:c r="B64" s="3" t="s">
        <x:v>38</x:v>
      </x:c>
      <x:c r="C64" s="3" t="s">
        <x:v>79</x:v>
      </x:c>
      <x:c r="D64" s="5" t="n">
        <x:v>960</x:v>
      </x:c>
      <x:c r="E64" s="14" t="n">
        <x:v>0.055</x:v>
      </x:c>
      <x:c r="F64" s="15" t="n">
        <x:v>58.3</x:v>
      </x:c>
    </x:row>
    <x:row r="65" ht="15" hidden="0">
      <x:c r="A65" s="3" t="s">
        <x:v>125</x:v>
      </x:c>
      <x:c r="B65" s="3" t="s">
        <x:v>38</x:v>
      </x:c>
      <x:c r="C65" s="3" t="s">
        <x:v>81</x:v>
      </x:c>
      <x:c r="D65" s="5" t="n">
        <x:v>536.8</x:v>
      </x:c>
      <x:c r="E65" s="14" t="n">
        <x:v>0.055</x:v>
      </x:c>
      <x:c r="F65" s="15" t="n">
        <x:v>35.02</x:v>
      </x:c>
    </x:row>
    <x:row r="66" ht="15" hidden="0">
      <x:c r="A66" s="3" t="s">
        <x:v>125</x:v>
      </x:c>
      <x:c r="B66" s="3" t="s">
        <x:v>38</x:v>
      </x:c>
      <x:c r="C66" s="3" t="s">
        <x:v>83</x:v>
      </x:c>
      <x:c r="D66" s="5" t="n">
        <x:v>35</x:v>
      </x:c>
      <x:c r="E66" s="14" t="n">
        <x:v>0.055</x:v>
      </x:c>
      <x:c r="F66" s="15" t="n">
        <x:v>7.42</x:v>
      </x:c>
    </x:row>
    <x:row r="67" ht="15" hidden="0">
      <x:c r="A67" s="3" t="s">
        <x:v>125</x:v>
      </x:c>
      <x:c r="B67" s="3" t="s">
        <x:v>38</x:v>
      </x:c>
      <x:c r="C67" s="3" t="s">
        <x:v>85</x:v>
      </x:c>
      <x:c r="D67" s="5" t="n">
        <x:v>630.8</x:v>
      </x:c>
      <x:c r="E67" s="14" t="n">
        <x:v>0.055</x:v>
      </x:c>
      <x:c r="F67" s="15" t="n">
        <x:v>40.19</x:v>
      </x:c>
    </x:row>
    <x:row r="68" ht="15" hidden="0">
      <x:c r="A68" s="3" t="s">
        <x:v>125</x:v>
      </x:c>
      <x:c r="B68" s="3" t="s">
        <x:v>41</x:v>
      </x:c>
      <x:c r="C68" s="3" t="s">
        <x:v>75</x:v>
      </x:c>
      <x:c r="D68" s="5" t="n">
        <x:v>2528.8</x:v>
      </x:c>
      <x:c r="E68" s="14" t="n">
        <x:v>0.055</x:v>
      </x:c>
      <x:c r="F68" s="15" t="n">
        <x:v>144.58</x:v>
      </x:c>
    </x:row>
    <x:row r="69" ht="15" hidden="0">
      <x:c r="A69" s="3" t="s">
        <x:v>125</x:v>
      </x:c>
      <x:c r="B69" s="3" t="s">
        <x:v>41</x:v>
      </x:c>
      <x:c r="C69" s="3" t="s">
        <x:v>77</x:v>
      </x:c>
      <x:c r="D69" s="5" t="n">
        <x:v>2062.1</x:v>
      </x:c>
      <x:c r="E69" s="14" t="n">
        <x:v>0.055</x:v>
      </x:c>
      <x:c r="F69" s="15" t="n">
        <x:v>118.92</x:v>
      </x:c>
    </x:row>
    <x:row r="70" ht="15" hidden="0">
      <x:c r="A70" s="3" t="s">
        <x:v>125</x:v>
      </x:c>
      <x:c r="B70" s="3" t="s">
        <x:v>41</x:v>
      </x:c>
      <x:c r="C70" s="3" t="s">
        <x:v>79</x:v>
      </x:c>
      <x:c r="D70" s="5" t="n">
        <x:v>1207.6</x:v>
      </x:c>
      <x:c r="E70" s="14" t="n">
        <x:v>0.055</x:v>
      </x:c>
      <x:c r="F70" s="15" t="n">
        <x:v>71.92</x:v>
      </x:c>
    </x:row>
    <x:row r="71" ht="15" hidden="0">
      <x:c r="A71" s="3" t="s">
        <x:v>125</x:v>
      </x:c>
      <x:c r="B71" s="3" t="s">
        <x:v>41</x:v>
      </x:c>
      <x:c r="C71" s="3" t="s">
        <x:v>81</x:v>
      </x:c>
      <x:c r="D71" s="5" t="n">
        <x:v>763.2</x:v>
      </x:c>
      <x:c r="E71" s="14" t="n">
        <x:v>0.055</x:v>
      </x:c>
      <x:c r="F71" s="15" t="n">
        <x:v>47.48</x:v>
      </x:c>
    </x:row>
    <x:row r="72" ht="15" hidden="0">
      <x:c r="A72" s="3" t="s">
        <x:v>125</x:v>
      </x:c>
      <x:c r="B72" s="3" t="s">
        <x:v>41</x:v>
      </x:c>
      <x:c r="C72" s="3" t="s">
        <x:v>83</x:v>
      </x:c>
      <x:c r="D72" s="5" t="n">
        <x:v>240.5</x:v>
      </x:c>
      <x:c r="E72" s="14" t="n">
        <x:v>0.055</x:v>
      </x:c>
      <x:c r="F72" s="15" t="n">
        <x:v>18.73</x:v>
      </x:c>
    </x:row>
    <x:row r="73" ht="15" hidden="0">
      <x:c r="A73" s="3" t="s">
        <x:v>125</x:v>
      </x:c>
      <x:c r="B73" s="3" t="s">
        <x:v>41</x:v>
      </x:c>
      <x:c r="C73" s="3" t="s">
        <x:v>85</x:v>
      </x:c>
      <x:c r="D73" s="5" t="n">
        <x:v>372.5</x:v>
      </x:c>
      <x:c r="E73" s="14" t="n">
        <x:v>0.055</x:v>
      </x:c>
      <x:c r="F73" s="15" t="n">
        <x:v>25.99</x:v>
      </x:c>
    </x:row>
    <x:row r="74" ht="15" hidden="0">
      <x:c r="A74" s="3" t="s">
        <x:v>125</x:v>
      </x:c>
      <x:c r="B74" s="3" t="s">
        <x:v>44</x:v>
      </x:c>
      <x:c r="C74" s="3" t="s">
        <x:v>75</x:v>
      </x:c>
      <x:c r="D74" s="5" t="n">
        <x:v>2683.1</x:v>
      </x:c>
      <x:c r="E74" s="14" t="n">
        <x:v>0.055</x:v>
      </x:c>
      <x:c r="F74" s="15" t="n">
        <x:v>153.07</x:v>
      </x:c>
    </x:row>
    <x:row r="75" ht="15" hidden="0">
      <x:c r="A75" s="3" t="s">
        <x:v>125</x:v>
      </x:c>
      <x:c r="B75" s="3" t="s">
        <x:v>44</x:v>
      </x:c>
      <x:c r="C75" s="3" t="s">
        <x:v>77</x:v>
      </x:c>
      <x:c r="D75" s="5" t="n">
        <x:v>2216.9</x:v>
      </x:c>
      <x:c r="E75" s="14" t="n">
        <x:v>0.055</x:v>
      </x:c>
      <x:c r="F75" s="15" t="n">
        <x:v>127.43</x:v>
      </x:c>
    </x:row>
    <x:row r="76" ht="15" hidden="0">
      <x:c r="A76" s="3" t="s">
        <x:v>125</x:v>
      </x:c>
      <x:c r="B76" s="3" t="s">
        <x:v>44</x:v>
      </x:c>
      <x:c r="C76" s="3" t="s">
        <x:v>79</x:v>
      </x:c>
      <x:c r="D76" s="5" t="n">
        <x:v>1362.6</x:v>
      </x:c>
      <x:c r="E76" s="14" t="n">
        <x:v>0.055</x:v>
      </x:c>
      <x:c r="F76" s="15" t="n">
        <x:v>80.44</x:v>
      </x:c>
    </x:row>
    <x:row r="77" ht="15" hidden="0">
      <x:c r="A77" s="3" t="s">
        <x:v>125</x:v>
      </x:c>
      <x:c r="B77" s="3" t="s">
        <x:v>44</x:v>
      </x:c>
      <x:c r="C77" s="3" t="s">
        <x:v>81</x:v>
      </x:c>
      <x:c r="D77" s="5" t="n">
        <x:v>922.8</x:v>
      </x:c>
      <x:c r="E77" s="14" t="n">
        <x:v>0.055</x:v>
      </x:c>
      <x:c r="F77" s="15" t="n">
        <x:v>56.25</x:v>
      </x:c>
    </x:row>
    <x:row r="78" ht="15" hidden="0">
      <x:c r="A78" s="3" t="s">
        <x:v>125</x:v>
      </x:c>
      <x:c r="B78" s="3" t="s">
        <x:v>44</x:v>
      </x:c>
      <x:c r="C78" s="3" t="s">
        <x:v>83</x:v>
      </x:c>
      <x:c r="D78" s="5" t="n">
        <x:v>379.8</x:v>
      </x:c>
      <x:c r="E78" s="14" t="n">
        <x:v>0.055</x:v>
      </x:c>
      <x:c r="F78" s="15" t="n">
        <x:v>26.39</x:v>
      </x:c>
    </x:row>
    <x:row r="79" ht="15" hidden="0">
      <x:c r="A79" s="3" t="s">
        <x:v>125</x:v>
      </x:c>
      <x:c r="B79" s="3" t="s">
        <x:v>44</x:v>
      </x:c>
      <x:c r="C79" s="3" t="s">
        <x:v>85</x:v>
      </x:c>
      <x:c r="D79" s="5" t="n">
        <x:v>226.7</x:v>
      </x:c>
      <x:c r="E79" s="14" t="n">
        <x:v>0.055</x:v>
      </x:c>
      <x:c r="F79" s="15" t="n">
        <x:v>17.97</x:v>
      </x:c>
    </x:row>
    <x:row r="80" ht="15" hidden="0">
      <x:c r="A80" s="3" t="s">
        <x:v>125</x:v>
      </x:c>
      <x:c r="B80" s="3" t="s">
        <x:v>47</x:v>
      </x:c>
      <x:c r="C80" s="3" t="s">
        <x:v>75</x:v>
      </x:c>
      <x:c r="D80" s="5" t="n">
        <x:v>2901.2</x:v>
      </x:c>
      <x:c r="E80" s="14" t="n">
        <x:v>0.055</x:v>
      </x:c>
      <x:c r="F80" s="15" t="n">
        <x:v>165.07</x:v>
      </x:c>
    </x:row>
    <x:row r="81" ht="15" hidden="0">
      <x:c r="A81" s="3" t="s">
        <x:v>125</x:v>
      </x:c>
      <x:c r="B81" s="3" t="s">
        <x:v>47</x:v>
      </x:c>
      <x:c r="C81" s="3" t="s">
        <x:v>77</x:v>
      </x:c>
      <x:c r="D81" s="5" t="n">
        <x:v>2434.4</x:v>
      </x:c>
      <x:c r="E81" s="14" t="n">
        <x:v>0.055</x:v>
      </x:c>
      <x:c r="F81" s="15" t="n">
        <x:v>139.39</x:v>
      </x:c>
    </x:row>
    <x:row r="82" ht="15" hidden="0">
      <x:c r="A82" s="3" t="s">
        <x:v>125</x:v>
      </x:c>
      <x:c r="B82" s="3" t="s">
        <x:v>47</x:v>
      </x:c>
      <x:c r="C82" s="3" t="s">
        <x:v>79</x:v>
      </x:c>
      <x:c r="D82" s="5" t="n">
        <x:v>1579.9</x:v>
      </x:c>
      <x:c r="E82" s="14" t="n">
        <x:v>0.055</x:v>
      </x:c>
      <x:c r="F82" s="15" t="n">
        <x:v>92.39</x:v>
      </x:c>
    </x:row>
    <x:row r="83" ht="15" hidden="0">
      <x:c r="A83" s="3" t="s">
        <x:v>125</x:v>
      </x:c>
      <x:c r="B83" s="3" t="s">
        <x:v>47</x:v>
      </x:c>
      <x:c r="C83" s="3" t="s">
        <x:v>81</x:v>
      </x:c>
      <x:c r="D83" s="5" t="n">
        <x:v>1132.5</x:v>
      </x:c>
      <x:c r="E83" s="14" t="n">
        <x:v>0.055</x:v>
      </x:c>
      <x:c r="F83" s="15" t="n">
        <x:v>67.79</x:v>
      </x:c>
    </x:row>
    <x:row r="84" ht="15" hidden="0">
      <x:c r="A84" s="3" t="s">
        <x:v>125</x:v>
      </x:c>
      <x:c r="B84" s="3" t="s">
        <x:v>47</x:v>
      </x:c>
      <x:c r="C84" s="3" t="s">
        <x:v>83</x:v>
      </x:c>
      <x:c r="D84" s="5" t="n">
        <x:v>604.4</x:v>
      </x:c>
      <x:c r="E84" s="14" t="n">
        <x:v>0.055</x:v>
      </x:c>
      <x:c r="F84" s="15" t="n">
        <x:v>38.74</x:v>
      </x:c>
    </x:row>
    <x:row r="85" ht="15" hidden="0">
      <x:c r="A85" s="3" t="s">
        <x:v>125</x:v>
      </x:c>
      <x:c r="B85" s="3" t="s">
        <x:v>47</x:v>
      </x:c>
      <x:c r="C85" s="3" t="s">
        <x:v>85</x:v>
      </x:c>
      <x:c r="D85" s="5" t="n">
        <x:v>35</x:v>
      </x:c>
      <x:c r="E85" s="14" t="n">
        <x:v>0.055</x:v>
      </x:c>
      <x:c r="F85" s="15" t="n">
        <x:v>7.42</x:v>
      </x:c>
    </x:row>
    <x:row r="86" ht="15" hidden="0">
      <x:c r="A86" s="3" t="s">
        <x:v>125</x:v>
      </x:c>
      <x:c r="B86" s="3" t="s">
        <x:v>50</x:v>
      </x:c>
      <x:c r="C86" s="3" t="s">
        <x:v>75</x:v>
      </x:c>
      <x:c r="D86" s="5" t="n">
        <x:v>3447.1</x:v>
      </x:c>
      <x:c r="E86" s="14" t="n">
        <x:v>0.055</x:v>
      </x:c>
      <x:c r="F86" s="15" t="n">
        <x:v>195.09</x:v>
      </x:c>
    </x:row>
    <x:row r="87" ht="15" hidden="0">
      <x:c r="A87" s="3" t="s">
        <x:v>125</x:v>
      </x:c>
      <x:c r="B87" s="3" t="s">
        <x:v>50</x:v>
      </x:c>
      <x:c r="C87" s="3" t="s">
        <x:v>77</x:v>
      </x:c>
      <x:c r="D87" s="5" t="n">
        <x:v>2979.9</x:v>
      </x:c>
      <x:c r="E87" s="14" t="n">
        <x:v>0.055</x:v>
      </x:c>
      <x:c r="F87" s="15" t="n">
        <x:v>169.39</x:v>
      </x:c>
    </x:row>
    <x:row r="88" ht="15" hidden="0">
      <x:c r="A88" s="3" t="s">
        <x:v>125</x:v>
      </x:c>
      <x:c r="B88" s="3" t="s">
        <x:v>50</x:v>
      </x:c>
      <x:c r="C88" s="3" t="s">
        <x:v>79</x:v>
      </x:c>
      <x:c r="D88" s="5" t="n">
        <x:v>2127.8</x:v>
      </x:c>
      <x:c r="E88" s="14" t="n">
        <x:v>0.055</x:v>
      </x:c>
      <x:c r="F88" s="15" t="n">
        <x:v>122.53</x:v>
      </x:c>
    </x:row>
    <x:row r="89" ht="15" hidden="0">
      <x:c r="A89" s="3" t="s">
        <x:v>125</x:v>
      </x:c>
      <x:c r="B89" s="3" t="s">
        <x:v>50</x:v>
      </x:c>
      <x:c r="C89" s="3" t="s">
        <x:v>81</x:v>
      </x:c>
      <x:c r="D89" s="5" t="n">
        <x:v>1672.1</x:v>
      </x:c>
      <x:c r="E89" s="14" t="n">
        <x:v>0.055</x:v>
      </x:c>
      <x:c r="F89" s="15" t="n">
        <x:v>97.47</x:v>
      </x:c>
    </x:row>
    <x:row r="90" ht="15" hidden="0">
      <x:c r="A90" s="3" t="s">
        <x:v>125</x:v>
      </x:c>
      <x:c r="B90" s="3" t="s">
        <x:v>50</x:v>
      </x:c>
      <x:c r="C90" s="3" t="s">
        <x:v>83</x:v>
      </x:c>
      <x:c r="D90" s="5" t="n">
        <x:v>1166.1</x:v>
      </x:c>
      <x:c r="E90" s="14" t="n">
        <x:v>0.055</x:v>
      </x:c>
      <x:c r="F90" s="15" t="n">
        <x:v>69.64</x:v>
      </x:c>
    </x:row>
    <x:row r="91" ht="15" hidden="0">
      <x:c r="A91" s="3" t="s">
        <x:v>125</x:v>
      </x:c>
      <x:c r="B91" s="3" t="s">
        <x:v>50</x:v>
      </x:c>
      <x:c r="C91" s="3" t="s">
        <x:v>85</x:v>
      </x:c>
      <x:c r="D91" s="5" t="n">
        <x:v>563.6</x:v>
      </x:c>
      <x:c r="E91" s="14" t="n">
        <x:v>0.055</x:v>
      </x:c>
      <x:c r="F91" s="15" t="n">
        <x:v>36.5</x:v>
      </x:c>
    </x:row>
    <x:row r="92" ht="15" hidden="0">
      <x:c r="A92" s="3" t="s">
        <x:v>125</x:v>
      </x:c>
      <x:c r="B92" s="3" t="s">
        <x:v>53</x:v>
      </x:c>
      <x:c r="C92" s="3" t="s">
        <x:v>75</x:v>
      </x:c>
      <x:c r="D92" s="5" t="n">
        <x:v>4470.6</x:v>
      </x:c>
      <x:c r="E92" s="14" t="n">
        <x:v>0.055</x:v>
      </x:c>
      <x:c r="F92" s="15" t="n">
        <x:v>251.38</x:v>
      </x:c>
    </x:row>
    <x:row r="93" ht="15" hidden="0">
      <x:c r="A93" s="3" t="s">
        <x:v>125</x:v>
      </x:c>
      <x:c r="B93" s="3" t="s">
        <x:v>53</x:v>
      </x:c>
      <x:c r="C93" s="3" t="s">
        <x:v>77</x:v>
      </x:c>
      <x:c r="D93" s="5" t="n">
        <x:v>4004.2</x:v>
      </x:c>
      <x:c r="E93" s="14" t="n">
        <x:v>0.055</x:v>
      </x:c>
      <x:c r="F93" s="15" t="n">
        <x:v>225.73</x:v>
      </x:c>
    </x:row>
    <x:row r="94" ht="15" hidden="0">
      <x:c r="A94" s="3" t="s">
        <x:v>125</x:v>
      </x:c>
      <x:c r="B94" s="3" t="s">
        <x:v>53</x:v>
      </x:c>
      <x:c r="C94" s="3" t="s">
        <x:v>79</x:v>
      </x:c>
      <x:c r="D94" s="5" t="n">
        <x:v>3155.7</x:v>
      </x:c>
      <x:c r="E94" s="14" t="n">
        <x:v>0.055</x:v>
      </x:c>
      <x:c r="F94" s="15" t="n">
        <x:v>179.06</x:v>
      </x:c>
    </x:row>
    <x:row r="95" ht="15" hidden="0">
      <x:c r="A95" s="3" t="s">
        <x:v>125</x:v>
      </x:c>
      <x:c r="B95" s="3" t="s">
        <x:v>53</x:v>
      </x:c>
      <x:c r="C95" s="3" t="s">
        <x:v>81</x:v>
      </x:c>
      <x:c r="D95" s="5" t="n">
        <x:v>2697</x:v>
      </x:c>
      <x:c r="E95" s="14" t="n">
        <x:v>0.055</x:v>
      </x:c>
      <x:c r="F95" s="15" t="n">
        <x:v>153.84</x:v>
      </x:c>
    </x:row>
    <x:row r="96" ht="15" hidden="0">
      <x:c r="A96" s="3" t="s">
        <x:v>125</x:v>
      </x:c>
      <x:c r="B96" s="3" t="s">
        <x:v>53</x:v>
      </x:c>
      <x:c r="C96" s="3" t="s">
        <x:v>83</x:v>
      </x:c>
      <x:c r="D96" s="5" t="n">
        <x:v>2200.6</x:v>
      </x:c>
      <x:c r="E96" s="14" t="n">
        <x:v>0.055</x:v>
      </x:c>
      <x:c r="F96" s="15" t="n">
        <x:v>126.53</x:v>
      </x:c>
    </x:row>
    <x:row r="97" ht="15" hidden="0">
      <x:c r="A97" s="3" t="s">
        <x:v>125</x:v>
      </x:c>
      <x:c r="B97" s="3" t="s">
        <x:v>53</x:v>
      </x:c>
      <x:c r="C97" s="3" t="s">
        <x:v>85</x:v>
      </x:c>
      <x:c r="D97" s="5" t="n">
        <x:v>1597.2</x:v>
      </x:c>
      <x:c r="E97" s="14" t="n">
        <x:v>0.055</x:v>
      </x:c>
      <x:c r="F97" s="15" t="n">
        <x:v>93.35</x:v>
      </x:c>
    </x:row>
    <x:row r="98" ht="15" hidden="0">
      <x:c r="A98" s="3" t="s">
        <x:v>126</x:v>
      </x:c>
      <x:c r="B98" s="3" t="s">
        <x:v>75</x:v>
      </x:c>
      <x:c r="C98" s="3" t="s">
        <x:v>97</x:v>
      </x:c>
      <x:c r="D98" s="5" t="n">
        <x:v>393.3</x:v>
      </x:c>
      <x:c r="E98" s="14" t="n">
        <x:v>0.032</x:v>
      </x:c>
      <x:c r="F98" s="15" t="n">
        <x:v>17.09</x:v>
      </x:c>
    </x:row>
    <x:row r="99" ht="15" hidden="0">
      <x:c r="A99" s="3" t="s">
        <x:v>126</x:v>
      </x:c>
      <x:c r="B99" s="3" t="s">
        <x:v>75</x:v>
      </x:c>
      <x:c r="C99" s="3" t="s">
        <x:v>109</x:v>
      </x:c>
      <x:c r="D99" s="5" t="n">
        <x:v>1709.8</x:v>
      </x:c>
      <x:c r="E99" s="14" t="n">
        <x:v>0.032</x:v>
      </x:c>
      <x:c r="F99" s="15" t="n">
        <x:v>59.21</x:v>
      </x:c>
    </x:row>
    <x:row r="100" ht="15" hidden="0">
      <x:c r="A100" s="3" t="s">
        <x:v>126</x:v>
      </x:c>
      <x:c r="B100" s="3" t="s">
        <x:v>75</x:v>
      </x:c>
      <x:c r="C100" s="3" t="s">
        <x:v>111</x:v>
      </x:c>
      <x:c r="D100" s="5" t="n">
        <x:v>1748.2</x:v>
      </x:c>
      <x:c r="E100" s="14" t="n">
        <x:v>0.032</x:v>
      </x:c>
      <x:c r="F100" s="15" t="n">
        <x:v>60.44</x:v>
      </x:c>
    </x:row>
    <x:row r="101" ht="15" hidden="0">
      <x:c r="A101" s="3" t="s">
        <x:v>126</x:v>
      </x:c>
      <x:c r="B101" s="3" t="s">
        <x:v>75</x:v>
      </x:c>
      <x:c r="C101" s="3" t="s">
        <x:v>113</x:v>
      </x:c>
      <x:c r="D101" s="5" t="n">
        <x:v>1991.5</x:v>
      </x:c>
      <x:c r="E101" s="14" t="n">
        <x:v>0.032</x:v>
      </x:c>
      <x:c r="F101" s="15" t="n">
        <x:v>68.23</x:v>
      </x:c>
    </x:row>
    <x:row r="102" ht="15" hidden="0">
      <x:c r="A102" s="3" t="s">
        <x:v>126</x:v>
      </x:c>
      <x:c r="B102" s="3" t="s">
        <x:v>75</x:v>
      </x:c>
      <x:c r="C102" s="3" t="s">
        <x:v>115</x:v>
      </x:c>
      <x:c r="D102" s="5" t="n">
        <x:v>2266.2</x:v>
      </x:c>
      <x:c r="E102" s="14" t="n">
        <x:v>0.032</x:v>
      </x:c>
      <x:c r="F102" s="15" t="n">
        <x:v>77.02</x:v>
      </x:c>
    </x:row>
    <x:row r="103" ht="15" hidden="0">
      <x:c r="A103" s="3" t="s">
        <x:v>126</x:v>
      </x:c>
      <x:c r="B103" s="3" t="s">
        <x:v>77</x:v>
      </x:c>
      <x:c r="C103" s="3" t="s">
        <x:v>97</x:v>
      </x:c>
      <x:c r="D103" s="5" t="n">
        <x:v>74.9</x:v>
      </x:c>
      <x:c r="E103" s="14" t="n">
        <x:v>0.032</x:v>
      </x:c>
      <x:c r="F103" s="15" t="n">
        <x:v>6.9</x:v>
      </x:c>
    </x:row>
    <x:row r="104" ht="15" hidden="0">
      <x:c r="A104" s="3" t="s">
        <x:v>126</x:v>
      </x:c>
      <x:c r="B104" s="3" t="s">
        <x:v>77</x:v>
      </x:c>
      <x:c r="C104" s="3" t="s">
        <x:v>109</x:v>
      </x:c>
      <x:c r="D104" s="5" t="n">
        <x:v>1242.6</x:v>
      </x:c>
      <x:c r="E104" s="14" t="n">
        <x:v>0.032</x:v>
      </x:c>
      <x:c r="F104" s="15" t="n">
        <x:v>44.26</x:v>
      </x:c>
    </x:row>
    <x:row r="105" ht="15" hidden="0">
      <x:c r="A105" s="3" t="s">
        <x:v>126</x:v>
      </x:c>
      <x:c r="B105" s="3" t="s">
        <x:v>77</x:v>
      </x:c>
      <x:c r="C105" s="3" t="s">
        <x:v>111</x:v>
      </x:c>
      <x:c r="D105" s="5" t="n">
        <x:v>1281.1</x:v>
      </x:c>
      <x:c r="E105" s="14" t="n">
        <x:v>0.032</x:v>
      </x:c>
      <x:c r="F105" s="15" t="n">
        <x:v>45.5</x:v>
      </x:c>
    </x:row>
    <x:row r="106" ht="15" hidden="0">
      <x:c r="A106" s="3" t="s">
        <x:v>126</x:v>
      </x:c>
      <x:c r="B106" s="3" t="s">
        <x:v>77</x:v>
      </x:c>
      <x:c r="C106" s="3" t="s">
        <x:v>113</x:v>
      </x:c>
      <x:c r="D106" s="5" t="n">
        <x:v>1524.4</x:v>
      </x:c>
      <x:c r="E106" s="14" t="n">
        <x:v>0.032</x:v>
      </x:c>
      <x:c r="F106" s="15" t="n">
        <x:v>53.28</x:v>
      </x:c>
    </x:row>
    <x:row r="107" ht="15" hidden="0">
      <x:c r="A107" s="3" t="s">
        <x:v>126</x:v>
      </x:c>
      <x:c r="B107" s="3" t="s">
        <x:v>77</x:v>
      </x:c>
      <x:c r="C107" s="3" t="s">
        <x:v>115</x:v>
      </x:c>
      <x:c r="D107" s="5" t="n">
        <x:v>1800.8</x:v>
      </x:c>
      <x:c r="E107" s="14" t="n">
        <x:v>0.032</x:v>
      </x:c>
      <x:c r="F107" s="15" t="n">
        <x:v>62.13</x:v>
      </x:c>
    </x:row>
    <x:row r="108" ht="15" hidden="0">
      <x:c r="A108" s="3" t="s">
        <x:v>126</x:v>
      </x:c>
      <x:c r="B108" s="3" t="s">
        <x:v>79</x:v>
      </x:c>
      <x:c r="C108" s="3" t="s">
        <x:v>97</x:v>
      </x:c>
      <x:c r="D108" s="5" t="n">
        <x:v>928</x:v>
      </x:c>
      <x:c r="E108" s="14" t="n">
        <x:v>0.032</x:v>
      </x:c>
      <x:c r="F108" s="15" t="n">
        <x:v>34.2</x:v>
      </x:c>
    </x:row>
    <x:row r="109" ht="15" hidden="0">
      <x:c r="A109" s="3" t="s">
        <x:v>126</x:v>
      </x:c>
      <x:c r="B109" s="3" t="s">
        <x:v>79</x:v>
      </x:c>
      <x:c r="C109" s="3" t="s">
        <x:v>109</x:v>
      </x:c>
      <x:c r="D109" s="5" t="n">
        <x:v>390.7</x:v>
      </x:c>
      <x:c r="E109" s="14" t="n">
        <x:v>0.032</x:v>
      </x:c>
      <x:c r="F109" s="15" t="n">
        <x:v>17</x:v>
      </x:c>
    </x:row>
    <x:row r="110" ht="15" hidden="0">
      <x:c r="A110" s="3" t="s">
        <x:v>126</x:v>
      </x:c>
      <x:c r="B110" s="3" t="s">
        <x:v>79</x:v>
      </x:c>
      <x:c r="C110" s="3" t="s">
        <x:v>111</x:v>
      </x:c>
      <x:c r="D110" s="5" t="n">
        <x:v>433.1</x:v>
      </x:c>
      <x:c r="E110" s="14" t="n">
        <x:v>0.032</x:v>
      </x:c>
      <x:c r="F110" s="15" t="n">
        <x:v>18.36</x:v>
      </x:c>
    </x:row>
    <x:row r="111" ht="15" hidden="0">
      <x:c r="A111" s="3" t="s">
        <x:v>126</x:v>
      </x:c>
      <x:c r="B111" s="3" t="s">
        <x:v>79</x:v>
      </x:c>
      <x:c r="C111" s="3" t="s">
        <x:v>113</x:v>
      </x:c>
      <x:c r="D111" s="5" t="n">
        <x:v>673.5</x:v>
      </x:c>
      <x:c r="E111" s="14" t="n">
        <x:v>0.032</x:v>
      </x:c>
      <x:c r="F111" s="15" t="n">
        <x:v>26.05</x:v>
      </x:c>
    </x:row>
    <x:row r="112" ht="15" hidden="0">
      <x:c r="A112" s="3" t="s">
        <x:v>126</x:v>
      </x:c>
      <x:c r="B112" s="3" t="s">
        <x:v>79</x:v>
      </x:c>
      <x:c r="C112" s="3" t="s">
        <x:v>115</x:v>
      </x:c>
      <x:c r="D112" s="5" t="n">
        <x:v>948.2</x:v>
      </x:c>
      <x:c r="E112" s="14" t="n">
        <x:v>0.032</x:v>
      </x:c>
      <x:c r="F112" s="15" t="n">
        <x:v>34.84</x:v>
      </x:c>
    </x:row>
    <x:row r="113" ht="15" hidden="0">
      <x:c r="A113" s="3" t="s">
        <x:v>126</x:v>
      </x:c>
      <x:c r="B113" s="3" t="s">
        <x:v>81</x:v>
      </x:c>
      <x:c r="C113" s="3" t="s">
        <x:v>97</x:v>
      </x:c>
      <x:c r="D113" s="5" t="n">
        <x:v>1382.3</x:v>
      </x:c>
      <x:c r="E113" s="14" t="n">
        <x:v>0.032</x:v>
      </x:c>
      <x:c r="F113" s="15" t="n">
        <x:v>48.73</x:v>
      </x:c>
    </x:row>
    <x:row r="114" ht="15" hidden="0">
      <x:c r="A114" s="3" t="s">
        <x:v>126</x:v>
      </x:c>
      <x:c r="B114" s="3" t="s">
        <x:v>81</x:v>
      </x:c>
      <x:c r="C114" s="3" t="s">
        <x:v>109</x:v>
      </x:c>
      <x:c r="D114" s="5" t="n">
        <x:v>77.2</x:v>
      </x:c>
      <x:c r="E114" s="14" t="n">
        <x:v>0.032</x:v>
      </x:c>
      <x:c r="F114" s="15" t="n">
        <x:v>6.97</x:v>
      </x:c>
    </x:row>
    <x:row r="115" ht="15" hidden="0">
      <x:c r="A115" s="3" t="s">
        <x:v>126</x:v>
      </x:c>
      <x:c r="B115" s="3" t="s">
        <x:v>81</x:v>
      </x:c>
      <x:c r="C115" s="3" t="s">
        <x:v>111</x:v>
      </x:c>
      <x:c r="D115" s="5" t="n">
        <x:v>35</x:v>
      </x:c>
      <x:c r="E115" s="14" t="n">
        <x:v>0.032</x:v>
      </x:c>
      <x:c r="F115" s="15" t="n">
        <x:v>5.62</x:v>
      </x:c>
    </x:row>
    <x:row r="116" ht="15" hidden="0">
      <x:c r="A116" s="3" t="s">
        <x:v>126</x:v>
      </x:c>
      <x:c r="B116" s="3" t="s">
        <x:v>81</x:v>
      </x:c>
      <x:c r="C116" s="3" t="s">
        <x:v>113</x:v>
      </x:c>
      <x:c r="D116" s="5" t="n">
        <x:v>217.4</x:v>
      </x:c>
      <x:c r="E116" s="14" t="n">
        <x:v>0.032</x:v>
      </x:c>
      <x:c r="F116" s="15" t="n">
        <x:v>11.46</x:v>
      </x:c>
    </x:row>
    <x:row r="117" ht="15" hidden="0">
      <x:c r="A117" s="3" t="s">
        <x:v>126</x:v>
      </x:c>
      <x:c r="B117" s="3" t="s">
        <x:v>81</x:v>
      </x:c>
      <x:c r="C117" s="3" t="s">
        <x:v>115</x:v>
      </x:c>
      <x:c r="D117" s="5" t="n">
        <x:v>528.2</x:v>
      </x:c>
      <x:c r="E117" s="14" t="n">
        <x:v>0.032</x:v>
      </x:c>
      <x:c r="F117" s="15" t="n">
        <x:v>21.4</x:v>
      </x:c>
    </x:row>
    <x:row r="118" ht="15" hidden="0">
      <x:c r="A118" s="3" t="s">
        <x:v>126</x:v>
      </x:c>
      <x:c r="B118" s="3" t="s">
        <x:v>83</x:v>
      </x:c>
      <x:c r="C118" s="3" t="s">
        <x:v>97</x:v>
      </x:c>
      <x:c r="D118" s="5" t="n">
        <x:v>1913.7</x:v>
      </x:c>
      <x:c r="E118" s="14" t="n">
        <x:v>0.032</x:v>
      </x:c>
      <x:c r="F118" s="15" t="n">
        <x:v>65.74</x:v>
      </x:c>
    </x:row>
    <x:row r="119" ht="15" hidden="0">
      <x:c r="A119" s="3" t="s">
        <x:v>126</x:v>
      </x:c>
      <x:c r="B119" s="3" t="s">
        <x:v>83</x:v>
      </x:c>
      <x:c r="C119" s="3" t="s">
        <x:v>109</x:v>
      </x:c>
      <x:c r="D119" s="5" t="n">
        <x:v>613.1</x:v>
      </x:c>
      <x:c r="E119" s="14" t="n">
        <x:v>0.032</x:v>
      </x:c>
      <x:c r="F119" s="15" t="n">
        <x:v>24.12</x:v>
      </x:c>
    </x:row>
    <x:row r="120" ht="15" hidden="0">
      <x:c r="A120" s="3" t="s">
        <x:v>126</x:v>
      </x:c>
      <x:c r="B120" s="3" t="s">
        <x:v>83</x:v>
      </x:c>
      <x:c r="C120" s="3" t="s">
        <x:v>111</x:v>
      </x:c>
      <x:c r="D120" s="5" t="n">
        <x:v>587.5</x:v>
      </x:c>
      <x:c r="E120" s="14" t="n">
        <x:v>0.032</x:v>
      </x:c>
      <x:c r="F120" s="15" t="n">
        <x:v>23.3</x:v>
      </x:c>
    </x:row>
    <x:row r="121" ht="15" hidden="0">
      <x:c r="A121" s="3" t="s">
        <x:v>126</x:v>
      </x:c>
      <x:c r="B121" s="3" t="s">
        <x:v>83</x:v>
      </x:c>
      <x:c r="C121" s="3" t="s">
        <x:v>113</x:v>
      </x:c>
      <x:c r="D121" s="5" t="n">
        <x:v>362.8</x:v>
      </x:c>
      <x:c r="E121" s="14" t="n">
        <x:v>0.032</x:v>
      </x:c>
      <x:c r="F121" s="15" t="n">
        <x:v>16.11</x:v>
      </x:c>
    </x:row>
    <x:row r="122" ht="15" hidden="0">
      <x:c r="A122" s="3" t="s">
        <x:v>126</x:v>
      </x:c>
      <x:c r="B122" s="3" t="s">
        <x:v>83</x:v>
      </x:c>
      <x:c r="C122" s="3" t="s">
        <x:v>115</x:v>
      </x:c>
      <x:c r="D122" s="5" t="n">
        <x:v>40.6</x:v>
      </x:c>
      <x:c r="E122" s="14" t="n">
        <x:v>0.032</x:v>
      </x:c>
      <x:c r="F122" s="15" t="n">
        <x:v>5.8</x:v>
      </x:c>
    </x:row>
    <x:row r="123" ht="15" hidden="0">
      <x:c r="A123" s="3" t="s">
        <x:v>126</x:v>
      </x:c>
      <x:c r="B123" s="3" t="s">
        <x:v>85</x:v>
      </x:c>
      <x:c r="C123" s="3" t="s">
        <x:v>97</x:v>
      </x:c>
      <x:c r="D123" s="5" t="n">
        <x:v>2507.9</x:v>
      </x:c>
      <x:c r="E123" s="14" t="n">
        <x:v>0.032</x:v>
      </x:c>
      <x:c r="F123" s="15" t="n">
        <x:v>84.75</x:v>
      </x:c>
    </x:row>
    <x:row r="124" ht="15" hidden="0">
      <x:c r="A124" s="3" t="s">
        <x:v>126</x:v>
      </x:c>
      <x:c r="B124" s="3" t="s">
        <x:v>85</x:v>
      </x:c>
      <x:c r="C124" s="3" t="s">
        <x:v>109</x:v>
      </x:c>
      <x:c r="D124" s="5" t="n">
        <x:v>1193.2</x:v>
      </x:c>
      <x:c r="E124" s="14" t="n">
        <x:v>0.032</x:v>
      </x:c>
      <x:c r="F124" s="15" t="n">
        <x:v>42.68</x:v>
      </x:c>
    </x:row>
    <x:row r="125" ht="15" hidden="0">
      <x:c r="A125" s="3" t="s">
        <x:v>126</x:v>
      </x:c>
      <x:c r="B125" s="3" t="s">
        <x:v>85</x:v>
      </x:c>
      <x:c r="C125" s="3" t="s">
        <x:v>111</x:v>
      </x:c>
      <x:c r="D125" s="5" t="n">
        <x:v>1158.3</x:v>
      </x:c>
      <x:c r="E125" s="14" t="n">
        <x:v>0.032</x:v>
      </x:c>
      <x:c r="F125" s="15" t="n">
        <x:v>41.57</x:v>
      </x:c>
    </x:row>
    <x:row r="126" ht="15" hidden="0">
      <x:c r="A126" s="3" t="s">
        <x:v>126</x:v>
      </x:c>
      <x:c r="B126" s="3" t="s">
        <x:v>85</x:v>
      </x:c>
      <x:c r="C126" s="3" t="s">
        <x:v>113</x:v>
      </x:c>
      <x:c r="D126" s="5" t="n">
        <x:v>915.3</x:v>
      </x:c>
      <x:c r="E126" s="14" t="n">
        <x:v>0.032</x:v>
      </x:c>
      <x:c r="F126" s="15" t="n">
        <x:v>33.79</x:v>
      </x:c>
    </x:row>
    <x:row r="127" ht="15" hidden="0">
      <x:c r="A127" s="3" t="s">
        <x:v>126</x:v>
      </x:c>
      <x:c r="B127" s="3" t="s">
        <x:v>85</x:v>
      </x:c>
      <x:c r="C127" s="3" t="s">
        <x:v>115</x:v>
      </x:c>
      <x:c r="D127" s="5" t="n">
        <x:v>644.9</x:v>
      </x:c>
      <x:c r="E127" s="14" t="n">
        <x:v>0.032</x:v>
      </x:c>
      <x:c r="F127" s="15" t="n">
        <x:v>25.14</x:v>
      </x:c>
    </x:row>
    <x:row r="128" ht="15" hidden="0">
      <x:c r="A128" s="3" t="s">
        <x:v>127</x:v>
      </x:c>
      <x:c r="B128" s="3" t="s">
        <x:v>10</x:v>
      </x:c>
      <x:c r="C128" s="3" t="s">
        <x:v>97</x:v>
      </x:c>
      <x:c r="D128" s="5" t="n">
        <x:v>627.3</x:v>
      </x:c>
      <x:c r="E128" s="14" t="n">
        <x:v>0.095</x:v>
      </x:c>
      <x:c r="F128" s="15" t="n">
        <x:v>71.59</x:v>
      </x:c>
    </x:row>
    <x:row r="129" ht="15" hidden="0">
      <x:c r="A129" s="3" t="s">
        <x:v>127</x:v>
      </x:c>
      <x:c r="B129" s="3" t="s">
        <x:v>10</x:v>
      </x:c>
      <x:c r="C129" s="3" t="s">
        <x:v>109</x:v>
      </x:c>
      <x:c r="D129" s="5" t="n">
        <x:v>1943.6</x:v>
      </x:c>
      <x:c r="E129" s="14" t="n">
        <x:v>0.095</x:v>
      </x:c>
      <x:c r="F129" s="15" t="n">
        <x:v>196.64</x:v>
      </x:c>
    </x:row>
    <x:row r="130" ht="15" hidden="0">
      <x:c r="A130" s="3" t="s">
        <x:v>127</x:v>
      </x:c>
      <x:c r="B130" s="3" t="s">
        <x:v>10</x:v>
      </x:c>
      <x:c r="C130" s="3" t="s">
        <x:v>111</x:v>
      </x:c>
      <x:c r="D130" s="5" t="n">
        <x:v>1982.6</x:v>
      </x:c>
      <x:c r="E130" s="14" t="n">
        <x:v>0.095</x:v>
      </x:c>
      <x:c r="F130" s="15" t="n">
        <x:v>200.35</x:v>
      </x:c>
    </x:row>
    <x:row r="131" ht="15" hidden="0">
      <x:c r="A131" s="3" t="s">
        <x:v>127</x:v>
      </x:c>
      <x:c r="B131" s="3" t="s">
        <x:v>10</x:v>
      </x:c>
      <x:c r="C131" s="3" t="s">
        <x:v>113</x:v>
      </x:c>
      <x:c r="D131" s="5" t="n">
        <x:v>2225.7</x:v>
      </x:c>
      <x:c r="E131" s="14" t="n">
        <x:v>0.095</x:v>
      </x:c>
      <x:c r="F131" s="15" t="n">
        <x:v>223.44</x:v>
      </x:c>
    </x:row>
    <x:row r="132" ht="15" hidden="0">
      <x:c r="A132" s="3" t="s">
        <x:v>127</x:v>
      </x:c>
      <x:c r="B132" s="3" t="s">
        <x:v>10</x:v>
      </x:c>
      <x:c r="C132" s="3" t="s">
        <x:v>115</x:v>
      </x:c>
      <x:c r="D132" s="5" t="n">
        <x:v>2496.8</x:v>
      </x:c>
      <x:c r="E132" s="14" t="n">
        <x:v>0.095</x:v>
      </x:c>
      <x:c r="F132" s="15" t="n">
        <x:v>249.2</x:v>
      </x:c>
    </x:row>
    <x:row r="133" ht="15" hidden="0">
      <x:c r="A133" s="3" t="s">
        <x:v>127</x:v>
      </x:c>
      <x:c r="B133" s="3" t="s">
        <x:v>13</x:v>
      </x:c>
      <x:c r="C133" s="3" t="s">
        <x:v>97</x:v>
      </x:c>
      <x:c r="D133" s="5" t="n">
        <x:v>393.3</x:v>
      </x:c>
      <x:c r="E133" s="14" t="n">
        <x:v>0.095</x:v>
      </x:c>
      <x:c r="F133" s="15" t="n">
        <x:v>49.36</x:v>
      </x:c>
    </x:row>
    <x:row r="134" ht="15" hidden="0">
      <x:c r="A134" s="3" t="s">
        <x:v>127</x:v>
      </x:c>
      <x:c r="B134" s="3" t="s">
        <x:v>13</x:v>
      </x:c>
      <x:c r="C134" s="3" t="s">
        <x:v>109</x:v>
      </x:c>
      <x:c r="D134" s="5" t="n">
        <x:v>1709.8</x:v>
      </x:c>
      <x:c r="E134" s="14" t="n">
        <x:v>0.095</x:v>
      </x:c>
      <x:c r="F134" s="15" t="n">
        <x:v>174.43</x:v>
      </x:c>
    </x:row>
    <x:row r="135" ht="15" hidden="0">
      <x:c r="A135" s="3" t="s">
        <x:v>127</x:v>
      </x:c>
      <x:c r="B135" s="3" t="s">
        <x:v>13</x:v>
      </x:c>
      <x:c r="C135" s="3" t="s">
        <x:v>111</x:v>
      </x:c>
      <x:c r="D135" s="5" t="n">
        <x:v>1748.2</x:v>
      </x:c>
      <x:c r="E135" s="14" t="n">
        <x:v>0.095</x:v>
      </x:c>
      <x:c r="F135" s="15" t="n">
        <x:v>178.08</x:v>
      </x:c>
    </x:row>
    <x:row r="136" ht="15" hidden="0">
      <x:c r="A136" s="3" t="s">
        <x:v>127</x:v>
      </x:c>
      <x:c r="B136" s="3" t="s">
        <x:v>13</x:v>
      </x:c>
      <x:c r="C136" s="3" t="s">
        <x:v>113</x:v>
      </x:c>
      <x:c r="D136" s="5" t="n">
        <x:v>1991.5</x:v>
      </x:c>
      <x:c r="E136" s="14" t="n">
        <x:v>0.095</x:v>
      </x:c>
      <x:c r="F136" s="15" t="n">
        <x:v>201.19</x:v>
      </x:c>
    </x:row>
    <x:row r="137" ht="15" hidden="0">
      <x:c r="A137" s="3" t="s">
        <x:v>127</x:v>
      </x:c>
      <x:c r="B137" s="3" t="s">
        <x:v>13</x:v>
      </x:c>
      <x:c r="C137" s="3" t="s">
        <x:v>115</x:v>
      </x:c>
      <x:c r="D137" s="5" t="n">
        <x:v>2266.2</x:v>
      </x:c>
      <x:c r="E137" s="14" t="n">
        <x:v>0.095</x:v>
      </x:c>
      <x:c r="F137" s="15" t="n">
        <x:v>227.29</x:v>
      </x:c>
    </x:row>
    <x:row r="138" ht="15" hidden="0">
      <x:c r="A138" s="3" t="s">
        <x:v>127</x:v>
      </x:c>
      <x:c r="B138" s="3" t="s">
        <x:v>16</x:v>
      </x:c>
      <x:c r="C138" s="3" t="s">
        <x:v>97</x:v>
      </x:c>
      <x:c r="D138" s="5" t="n">
        <x:v>74.9</x:v>
      </x:c>
      <x:c r="E138" s="14" t="n">
        <x:v>0.095</x:v>
      </x:c>
      <x:c r="F138" s="15" t="n">
        <x:v>19.12</x:v>
      </x:c>
    </x:row>
    <x:row r="139" ht="15" hidden="0">
      <x:c r="A139" s="3" t="s">
        <x:v>127</x:v>
      </x:c>
      <x:c r="B139" s="3" t="s">
        <x:v>16</x:v>
      </x:c>
      <x:c r="C139" s="3" t="s">
        <x:v>109</x:v>
      </x:c>
      <x:c r="D139" s="5" t="n">
        <x:v>1242.6</x:v>
      </x:c>
      <x:c r="E139" s="14" t="n">
        <x:v>0.095</x:v>
      </x:c>
      <x:c r="F139" s="15" t="n">
        <x:v>130.05</x:v>
      </x:c>
    </x:row>
    <x:row r="140" ht="15" hidden="0">
      <x:c r="A140" s="3" t="s">
        <x:v>127</x:v>
      </x:c>
      <x:c r="B140" s="3" t="s">
        <x:v>16</x:v>
      </x:c>
      <x:c r="C140" s="3" t="s">
        <x:v>111</x:v>
      </x:c>
      <x:c r="D140" s="5" t="n">
        <x:v>1281.1</x:v>
      </x:c>
      <x:c r="E140" s="14" t="n">
        <x:v>0.095</x:v>
      </x:c>
      <x:c r="F140" s="15" t="n">
        <x:v>133.7</x:v>
      </x:c>
    </x:row>
    <x:row r="141" ht="15" hidden="0">
      <x:c r="A141" s="3" t="s">
        <x:v>127</x:v>
      </x:c>
      <x:c r="B141" s="3" t="s">
        <x:v>16</x:v>
      </x:c>
      <x:c r="C141" s="3" t="s">
        <x:v>113</x:v>
      </x:c>
      <x:c r="D141" s="5" t="n">
        <x:v>1524.4</x:v>
      </x:c>
      <x:c r="E141" s="14" t="n">
        <x:v>0.095</x:v>
      </x:c>
      <x:c r="F141" s="15" t="n">
        <x:v>156.82</x:v>
      </x:c>
    </x:row>
    <x:row r="142" ht="15" hidden="0">
      <x:c r="A142" s="3" t="s">
        <x:v>127</x:v>
      </x:c>
      <x:c r="B142" s="3" t="s">
        <x:v>16</x:v>
      </x:c>
      <x:c r="C142" s="3" t="s">
        <x:v>115</x:v>
      </x:c>
      <x:c r="D142" s="5" t="n">
        <x:v>1800.8</x:v>
      </x:c>
      <x:c r="E142" s="14" t="n">
        <x:v>0.095</x:v>
      </x:c>
      <x:c r="F142" s="15" t="n">
        <x:v>183.08</x:v>
      </x:c>
    </x:row>
    <x:row r="143" ht="15" hidden="0">
      <x:c r="A143" s="3" t="s">
        <x:v>127</x:v>
      </x:c>
      <x:c r="B143" s="3" t="s">
        <x:v>18</x:v>
      </x:c>
      <x:c r="C143" s="3" t="s">
        <x:v>97</x:v>
      </x:c>
      <x:c r="D143" s="5" t="n">
        <x:v>579</x:v>
      </x:c>
      <x:c r="E143" s="14" t="n">
        <x:v>0.095</x:v>
      </x:c>
      <x:c r="F143" s="15" t="n">
        <x:v>67</x:v>
      </x:c>
    </x:row>
    <x:row r="144" ht="15" hidden="0">
      <x:c r="A144" s="3" t="s">
        <x:v>127</x:v>
      </x:c>
      <x:c r="B144" s="3" t="s">
        <x:v>18</x:v>
      </x:c>
      <x:c r="C144" s="3" t="s">
        <x:v>109</x:v>
      </x:c>
      <x:c r="D144" s="5" t="n">
        <x:v>741.7</x:v>
      </x:c>
      <x:c r="E144" s="14" t="n">
        <x:v>0.095</x:v>
      </x:c>
      <x:c r="F144" s="15" t="n">
        <x:v>82.46</x:v>
      </x:c>
    </x:row>
    <x:row r="145" ht="15" hidden="0">
      <x:c r="A145" s="3" t="s">
        <x:v>127</x:v>
      </x:c>
      <x:c r="B145" s="3" t="s">
        <x:v>18</x:v>
      </x:c>
      <x:c r="C145" s="3" t="s">
        <x:v>111</x:v>
      </x:c>
      <x:c r="D145" s="5" t="n">
        <x:v>778.4</x:v>
      </x:c>
      <x:c r="E145" s="14" t="n">
        <x:v>0.095</x:v>
      </x:c>
      <x:c r="F145" s="15" t="n">
        <x:v>85.95</x:v>
      </x:c>
    </x:row>
    <x:row r="146" ht="15" hidden="0">
      <x:c r="A146" s="3" t="s">
        <x:v>127</x:v>
      </x:c>
      <x:c r="B146" s="3" t="s">
        <x:v>18</x:v>
      </x:c>
      <x:c r="C146" s="3" t="s">
        <x:v>113</x:v>
      </x:c>
      <x:c r="D146" s="5" t="n">
        <x:v>1022</x:v>
      </x:c>
      <x:c r="E146" s="14" t="n">
        <x:v>0.095</x:v>
      </x:c>
      <x:c r="F146" s="15" t="n">
        <x:v>109.09</x:v>
      </x:c>
    </x:row>
    <x:row r="147" ht="15" hidden="0">
      <x:c r="A147" s="3" t="s">
        <x:v>127</x:v>
      </x:c>
      <x:c r="B147" s="3" t="s">
        <x:v>18</x:v>
      </x:c>
      <x:c r="C147" s="3" t="s">
        <x:v>115</x:v>
      </x:c>
      <x:c r="D147" s="5" t="n">
        <x:v>1308</x:v>
      </x:c>
      <x:c r="E147" s="14" t="n">
        <x:v>0.095</x:v>
      </x:c>
      <x:c r="F147" s="15" t="n">
        <x:v>136.26</x:v>
      </x:c>
    </x:row>
    <x:row r="148" ht="15" hidden="0">
      <x:c r="A148" s="3" t="s">
        <x:v>127</x:v>
      </x:c>
      <x:c r="B148" s="3" t="s">
        <x:v>21</x:v>
      </x:c>
      <x:c r="C148" s="3" t="s">
        <x:v>97</x:v>
      </x:c>
      <x:c r="D148" s="5" t="n">
        <x:v>928</x:v>
      </x:c>
      <x:c r="E148" s="14" t="n">
        <x:v>0.095</x:v>
      </x:c>
      <x:c r="F148" s="15" t="n">
        <x:v>100.16</x:v>
      </x:c>
    </x:row>
    <x:row r="149" ht="15" hidden="0">
      <x:c r="A149" s="3" t="s">
        <x:v>127</x:v>
      </x:c>
      <x:c r="B149" s="3" t="s">
        <x:v>21</x:v>
      </x:c>
      <x:c r="C149" s="3" t="s">
        <x:v>109</x:v>
      </x:c>
      <x:c r="D149" s="5" t="n">
        <x:v>390.7</x:v>
      </x:c>
      <x:c r="E149" s="14" t="n">
        <x:v>0.095</x:v>
      </x:c>
      <x:c r="F149" s="15" t="n">
        <x:v>49.12</x:v>
      </x:c>
    </x:row>
    <x:row r="150" ht="15" hidden="0">
      <x:c r="A150" s="3" t="s">
        <x:v>127</x:v>
      </x:c>
      <x:c r="B150" s="3" t="s">
        <x:v>21</x:v>
      </x:c>
      <x:c r="C150" s="3" t="s">
        <x:v>111</x:v>
      </x:c>
      <x:c r="D150" s="5" t="n">
        <x:v>433.1</x:v>
      </x:c>
      <x:c r="E150" s="14" t="n">
        <x:v>0.095</x:v>
      </x:c>
      <x:c r="F150" s="15" t="n">
        <x:v>53.14</x:v>
      </x:c>
    </x:row>
    <x:row r="151" ht="15" hidden="0">
      <x:c r="A151" s="3" t="s">
        <x:v>127</x:v>
      </x:c>
      <x:c r="B151" s="3" t="s">
        <x:v>21</x:v>
      </x:c>
      <x:c r="C151" s="3" t="s">
        <x:v>113</x:v>
      </x:c>
      <x:c r="D151" s="5" t="n">
        <x:v>673.5</x:v>
      </x:c>
      <x:c r="E151" s="14" t="n">
        <x:v>0.095</x:v>
      </x:c>
      <x:c r="F151" s="15" t="n">
        <x:v>75.98</x:v>
      </x:c>
    </x:row>
    <x:row r="152" ht="15" hidden="0">
      <x:c r="A152" s="3" t="s">
        <x:v>127</x:v>
      </x:c>
      <x:c r="B152" s="3" t="s">
        <x:v>21</x:v>
      </x:c>
      <x:c r="C152" s="3" t="s">
        <x:v>115</x:v>
      </x:c>
      <x:c r="D152" s="5" t="n">
        <x:v>948.2</x:v>
      </x:c>
      <x:c r="E152" s="14" t="n">
        <x:v>0.095</x:v>
      </x:c>
      <x:c r="F152" s="15" t="n">
        <x:v>102.08</x:v>
      </x:c>
    </x:row>
    <x:row r="153" ht="15" hidden="0">
      <x:c r="A153" s="3" t="s">
        <x:v>127</x:v>
      </x:c>
      <x:c r="B153" s="3" t="s">
        <x:v>24</x:v>
      </x:c>
      <x:c r="C153" s="3" t="s">
        <x:v>97</x:v>
      </x:c>
      <x:c r="D153" s="5" t="n">
        <x:v>1356.5</x:v>
      </x:c>
      <x:c r="E153" s="14" t="n">
        <x:v>0.095</x:v>
      </x:c>
      <x:c r="F153" s="15" t="n">
        <x:v>140.87</x:v>
      </x:c>
    </x:row>
    <x:row r="154" ht="15" hidden="0">
      <x:c r="A154" s="3" t="s">
        <x:v>127</x:v>
      </x:c>
      <x:c r="B154" s="3" t="s">
        <x:v>24</x:v>
      </x:c>
      <x:c r="C154" s="3" t="s">
        <x:v>109</x:v>
      </x:c>
      <x:c r="D154" s="5" t="n">
        <x:v>59.1</x:v>
      </x:c>
      <x:c r="E154" s="14" t="n">
        <x:v>0.095</x:v>
      </x:c>
      <x:c r="F154" s="15" t="n">
        <x:v>17.61</x:v>
      </x:c>
    </x:row>
    <x:row r="155" ht="15" hidden="0">
      <x:c r="A155" s="3" t="s">
        <x:v>127</x:v>
      </x:c>
      <x:c r="B155" s="3" t="s">
        <x:v>24</x:v>
      </x:c>
      <x:c r="C155" s="3" t="s">
        <x:v>111</x:v>
      </x:c>
      <x:c r="D155" s="5" t="n">
        <x:v>79.3</x:v>
      </x:c>
      <x:c r="E155" s="14" t="n">
        <x:v>0.095</x:v>
      </x:c>
      <x:c r="F155" s="15" t="n">
        <x:v>19.53</x:v>
      </x:c>
    </x:row>
    <x:row r="156" ht="15" hidden="0">
      <x:c r="A156" s="3" t="s">
        <x:v>127</x:v>
      </x:c>
      <x:c r="B156" s="3" t="s">
        <x:v>24</x:v>
      </x:c>
      <x:c r="C156" s="3" t="s">
        <x:v>113</x:v>
      </x:c>
      <x:c r="D156" s="5" t="n">
        <x:v>251.9</x:v>
      </x:c>
      <x:c r="E156" s="14" t="n">
        <x:v>0.095</x:v>
      </x:c>
      <x:c r="F156" s="15" t="n">
        <x:v>35.93</x:v>
      </x:c>
    </x:row>
    <x:row r="157" ht="15" hidden="0">
      <x:c r="A157" s="3" t="s">
        <x:v>127</x:v>
      </x:c>
      <x:c r="B157" s="3" t="s">
        <x:v>24</x:v>
      </x:c>
      <x:c r="C157" s="3" t="s">
        <x:v>115</x:v>
      </x:c>
      <x:c r="D157" s="5" t="n">
        <x:v>525.2</x:v>
      </x:c>
      <x:c r="E157" s="14" t="n">
        <x:v>0.095</x:v>
      </x:c>
      <x:c r="F157" s="15" t="n">
        <x:v>61.89</x:v>
      </x:c>
    </x:row>
    <x:row r="158" ht="15" hidden="0">
      <x:c r="A158" s="3" t="s">
        <x:v>127</x:v>
      </x:c>
      <x:c r="B158" s="3" t="s">
        <x:v>26</x:v>
      </x:c>
      <x:c r="C158" s="3" t="s">
        <x:v>97</x:v>
      </x:c>
      <x:c r="D158" s="5" t="n">
        <x:v>1404.2</x:v>
      </x:c>
      <x:c r="E158" s="14" t="n">
        <x:v>0.095</x:v>
      </x:c>
      <x:c r="F158" s="15" t="n">
        <x:v>145.4</x:v>
      </x:c>
    </x:row>
    <x:row r="159" ht="15" hidden="0">
      <x:c r="A159" s="3" t="s">
        <x:v>127</x:v>
      </x:c>
      <x:c r="B159" s="3" t="s">
        <x:v>26</x:v>
      </x:c>
      <x:c r="C159" s="3" t="s">
        <x:v>109</x:v>
      </x:c>
      <x:c r="D159" s="5" t="n">
        <x:v>108.6</x:v>
      </x:c>
      <x:c r="E159" s="14" t="n">
        <x:v>0.095</x:v>
      </x:c>
      <x:c r="F159" s="15" t="n">
        <x:v>22.32</x:v>
      </x:c>
    </x:row>
    <x:row r="160" ht="15" hidden="0">
      <x:c r="A160" s="3" t="s">
        <x:v>127</x:v>
      </x:c>
      <x:c r="B160" s="3" t="s">
        <x:v>26</x:v>
      </x:c>
      <x:c r="C160" s="3" t="s">
        <x:v>111</x:v>
      </x:c>
      <x:c r="D160" s="5" t="n">
        <x:v>57.1</x:v>
      </x:c>
      <x:c r="E160" s="14" t="n">
        <x:v>0.095</x:v>
      </x:c>
      <x:c r="F160" s="15" t="n">
        <x:v>17.42</x:v>
      </x:c>
    </x:row>
    <x:row r="161" ht="15" hidden="0">
      <x:c r="A161" s="3" t="s">
        <x:v>127</x:v>
      </x:c>
      <x:c r="B161" s="3" t="s">
        <x:v>26</x:v>
      </x:c>
      <x:c r="C161" s="3" t="s">
        <x:v>113</x:v>
      </x:c>
      <x:c r="D161" s="5" t="n">
        <x:v>200.3</x:v>
      </x:c>
      <x:c r="E161" s="14" t="n">
        <x:v>0.095</x:v>
      </x:c>
      <x:c r="F161" s="15" t="n">
        <x:v>31.03</x:v>
      </x:c>
    </x:row>
    <x:row r="162" ht="15" hidden="0">
      <x:c r="A162" s="3" t="s">
        <x:v>127</x:v>
      </x:c>
      <x:c r="B162" s="3" t="s">
        <x:v>26</x:v>
      </x:c>
      <x:c r="C162" s="3" t="s">
        <x:v>115</x:v>
      </x:c>
      <x:c r="D162" s="5" t="n">
        <x:v>519.9</x:v>
      </x:c>
      <x:c r="E162" s="14" t="n">
        <x:v>0.095</x:v>
      </x:c>
      <x:c r="F162" s="15" t="n">
        <x:v>61.39</x:v>
      </x:c>
    </x:row>
    <x:row r="163" ht="15" hidden="0">
      <x:c r="A163" s="3" t="s">
        <x:v>127</x:v>
      </x:c>
      <x:c r="B163" s="3" t="s">
        <x:v>29</x:v>
      </x:c>
      <x:c r="C163" s="3" t="s">
        <x:v>97</x:v>
      </x:c>
      <x:c r="D163" s="5" t="n">
        <x:v>1502.1</x:v>
      </x:c>
      <x:c r="E163" s="14" t="n">
        <x:v>0.095</x:v>
      </x:c>
      <x:c r="F163" s="15" t="n">
        <x:v>154.7</x:v>
      </x:c>
    </x:row>
    <x:row r="164" ht="15" hidden="0">
      <x:c r="A164" s="3" t="s">
        <x:v>127</x:v>
      </x:c>
      <x:c r="B164" s="3" t="s">
        <x:v>29</x:v>
      </x:c>
      <x:c r="C164" s="3" t="s">
        <x:v>109</x:v>
      </x:c>
      <x:c r="D164" s="5" t="n">
        <x:v>195.2</x:v>
      </x:c>
      <x:c r="E164" s="14" t="n">
        <x:v>0.095</x:v>
      </x:c>
      <x:c r="F164" s="15" t="n">
        <x:v>30.54</x:v>
      </x:c>
    </x:row>
    <x:row r="165" ht="15" hidden="0">
      <x:c r="A165" s="3" t="s">
        <x:v>127</x:v>
      </x:c>
      <x:c r="B165" s="3" t="s">
        <x:v>29</x:v>
      </x:c>
      <x:c r="C165" s="3" t="s">
        <x:v>111</x:v>
      </x:c>
      <x:c r="D165" s="5" t="n">
        <x:v>148.8</x:v>
      </x:c>
      <x:c r="E165" s="14" t="n">
        <x:v>0.095</x:v>
      </x:c>
      <x:c r="F165" s="15" t="n">
        <x:v>26.14</x:v>
      </x:c>
    </x:row>
    <x:row r="166" ht="15" hidden="0">
      <x:c r="A166" s="3" t="s">
        <x:v>127</x:v>
      </x:c>
      <x:c r="B166" s="3" t="s">
        <x:v>29</x:v>
      </x:c>
      <x:c r="C166" s="3" t="s">
        <x:v>113</x:v>
      </x:c>
      <x:c r="D166" s="5" t="n">
        <x:v>105.9</x:v>
      </x:c>
      <x:c r="E166" s="14" t="n">
        <x:v>0.095</x:v>
      </x:c>
      <x:c r="F166" s="15" t="n">
        <x:v>22.06</x:v>
      </x:c>
    </x:row>
    <x:row r="167" ht="15" hidden="0">
      <x:c r="A167" s="3" t="s">
        <x:v>127</x:v>
      </x:c>
      <x:c r="B167" s="3" t="s">
        <x:v>29</x:v>
      </x:c>
      <x:c r="C167" s="3" t="s">
        <x:v>115</x:v>
      </x:c>
      <x:c r="D167" s="5" t="n">
        <x:v>433.9</x:v>
      </x:c>
      <x:c r="E167" s="14" t="n">
        <x:v>0.095</x:v>
      </x:c>
      <x:c r="F167" s="15" t="n">
        <x:v>53.22</x:v>
      </x:c>
    </x:row>
    <x:row r="168" ht="15" hidden="0">
      <x:c r="A168" s="3" t="s">
        <x:v>127</x:v>
      </x:c>
      <x:c r="B168" s="3" t="s">
        <x:v>32</x:v>
      </x:c>
      <x:c r="C168" s="3" t="s">
        <x:v>97</x:v>
      </x:c>
      <x:c r="D168" s="5" t="n">
        <x:v>1678.1</x:v>
      </x:c>
      <x:c r="E168" s="14" t="n">
        <x:v>0.095</x:v>
      </x:c>
      <x:c r="F168" s="15" t="n">
        <x:v>171.42</x:v>
      </x:c>
    </x:row>
    <x:row r="169" ht="15" hidden="0">
      <x:c r="A169" s="3" t="s">
        <x:v>127</x:v>
      </x:c>
      <x:c r="B169" s="3" t="s">
        <x:v>32</x:v>
      </x:c>
      <x:c r="C169" s="3" t="s">
        <x:v>109</x:v>
      </x:c>
      <x:c r="D169" s="5" t="n">
        <x:v>362.2</x:v>
      </x:c>
      <x:c r="E169" s="14" t="n">
        <x:v>0.095</x:v>
      </x:c>
      <x:c r="F169" s="15" t="n">
        <x:v>46.41</x:v>
      </x:c>
    </x:row>
    <x:row r="170" ht="15" hidden="0">
      <x:c r="A170" s="3" t="s">
        <x:v>127</x:v>
      </x:c>
      <x:c r="B170" s="3" t="s">
        <x:v>32</x:v>
      </x:c>
      <x:c r="C170" s="3" t="s">
        <x:v>111</x:v>
      </x:c>
      <x:c r="D170" s="5" t="n">
        <x:v>328.4</x:v>
      </x:c>
      <x:c r="E170" s="14" t="n">
        <x:v>0.095</x:v>
      </x:c>
      <x:c r="F170" s="15" t="n">
        <x:v>43.2</x:v>
      </x:c>
    </x:row>
    <x:row r="171" ht="15" hidden="0">
      <x:c r="A171" s="3" t="s">
        <x:v>127</x:v>
      </x:c>
      <x:c r="B171" s="3" t="s">
        <x:v>32</x:v>
      </x:c>
      <x:c r="C171" s="3" t="s">
        <x:v>113</x:v>
      </x:c>
      <x:c r="D171" s="5" t="n">
        <x:v>93.2</x:v>
      </x:c>
      <x:c r="E171" s="14" t="n">
        <x:v>0.095</x:v>
      </x:c>
      <x:c r="F171" s="15" t="n">
        <x:v>20.85</x:v>
      </x:c>
    </x:row>
    <x:row r="172" ht="15" hidden="0">
      <x:c r="A172" s="3" t="s">
        <x:v>127</x:v>
      </x:c>
      <x:c r="B172" s="3" t="s">
        <x:v>32</x:v>
      </x:c>
      <x:c r="C172" s="3" t="s">
        <x:v>115</x:v>
      </x:c>
      <x:c r="D172" s="5" t="n">
        <x:v>237.4</x:v>
      </x:c>
      <x:c r="E172" s="14" t="n">
        <x:v>0.095</x:v>
      </x:c>
      <x:c r="F172" s="15" t="n">
        <x:v>34.55</x:v>
      </x:c>
    </x:row>
    <x:row r="173" ht="15" hidden="0">
      <x:c r="A173" s="3" t="s">
        <x:v>127</x:v>
      </x:c>
      <x:c r="B173" s="3" t="s">
        <x:v>35</x:v>
      </x:c>
      <x:c r="C173" s="3" t="s">
        <x:v>97</x:v>
      </x:c>
      <x:c r="D173" s="5" t="n">
        <x:v>1842.4</x:v>
      </x:c>
      <x:c r="E173" s="14" t="n">
        <x:v>0.095</x:v>
      </x:c>
      <x:c r="F173" s="15" t="n">
        <x:v>187.03</x:v>
      </x:c>
    </x:row>
    <x:row r="174" ht="15" hidden="0">
      <x:c r="A174" s="3" t="s">
        <x:v>127</x:v>
      </x:c>
      <x:c r="B174" s="3" t="s">
        <x:v>35</x:v>
      </x:c>
      <x:c r="C174" s="3" t="s">
        <x:v>109</x:v>
      </x:c>
      <x:c r="D174" s="5" t="n">
        <x:v>528.3</x:v>
      </x:c>
      <x:c r="E174" s="14" t="n">
        <x:v>0.095</x:v>
      </x:c>
      <x:c r="F174" s="15" t="n">
        <x:v>62.19</x:v>
      </x:c>
    </x:row>
    <x:row r="175" ht="15" hidden="0">
      <x:c r="A175" s="3" t="s">
        <x:v>127</x:v>
      </x:c>
      <x:c r="B175" s="3" t="s">
        <x:v>35</x:v>
      </x:c>
      <x:c r="C175" s="3" t="s">
        <x:v>111</x:v>
      </x:c>
      <x:c r="D175" s="5" t="n">
        <x:v>495.8</x:v>
      </x:c>
      <x:c r="E175" s="14" t="n">
        <x:v>0.095</x:v>
      </x:c>
      <x:c r="F175" s="15" t="n">
        <x:v>59.1</x:v>
      </x:c>
    </x:row>
    <x:row r="176" ht="15" hidden="0">
      <x:c r="A176" s="3" t="s">
        <x:v>127</x:v>
      </x:c>
      <x:c r="B176" s="3" t="s">
        <x:v>35</x:v>
      </x:c>
      <x:c r="C176" s="3" t="s">
        <x:v>113</x:v>
      </x:c>
      <x:c r="D176" s="5" t="n">
        <x:v>257.4</x:v>
      </x:c>
      <x:c r="E176" s="14" t="n">
        <x:v>0.095</x:v>
      </x:c>
      <x:c r="F176" s="15" t="n">
        <x:v>36.45</x:v>
      </x:c>
    </x:row>
    <x:row r="177" ht="15" hidden="0">
      <x:c r="A177" s="3" t="s">
        <x:v>127</x:v>
      </x:c>
      <x:c r="B177" s="3" t="s">
        <x:v>35</x:v>
      </x:c>
      <x:c r="C177" s="3" t="s">
        <x:v>115</x:v>
      </x:c>
      <x:c r="D177" s="5" t="n">
        <x:v>111.4</x:v>
      </x:c>
      <x:c r="E177" s="14" t="n">
        <x:v>0.095</x:v>
      </x:c>
      <x:c r="F177" s="15" t="n">
        <x:v>22.58</x:v>
      </x:c>
    </x:row>
    <x:row r="178" ht="15" hidden="0">
      <x:c r="A178" s="3" t="s">
        <x:v>127</x:v>
      </x:c>
      <x:c r="B178" s="3" t="s">
        <x:v>38</x:v>
      </x:c>
      <x:c r="C178" s="3" t="s">
        <x:v>97</x:v>
      </x:c>
      <x:c r="D178" s="5" t="n">
        <x:v>1885.8</x:v>
      </x:c>
      <x:c r="E178" s="14" t="n">
        <x:v>0.095</x:v>
      </x:c>
      <x:c r="F178" s="15" t="n">
        <x:v>191.15</x:v>
      </x:c>
    </x:row>
    <x:row r="179" ht="15" hidden="0">
      <x:c r="A179" s="3" t="s">
        <x:v>127</x:v>
      </x:c>
      <x:c r="B179" s="3" t="s">
        <x:v>38</x:v>
      </x:c>
      <x:c r="C179" s="3" t="s">
        <x:v>109</x:v>
      </x:c>
      <x:c r="D179" s="5" t="n">
        <x:v>584.9</x:v>
      </x:c>
      <x:c r="E179" s="14" t="n">
        <x:v>0.095</x:v>
      </x:c>
      <x:c r="F179" s="15" t="n">
        <x:v>67.57</x:v>
      </x:c>
    </x:row>
    <x:row r="180" ht="15" hidden="0">
      <x:c r="A180" s="3" t="s">
        <x:v>127</x:v>
      </x:c>
      <x:c r="B180" s="3" t="s">
        <x:v>38</x:v>
      </x:c>
      <x:c r="C180" s="3" t="s">
        <x:v>111</x:v>
      </x:c>
      <x:c r="D180" s="5" t="n">
        <x:v>559.4</x:v>
      </x:c>
      <x:c r="E180" s="14" t="n">
        <x:v>0.095</x:v>
      </x:c>
      <x:c r="F180" s="15" t="n">
        <x:v>65.14</x:v>
      </x:c>
    </x:row>
    <x:row r="181" ht="15" hidden="0">
      <x:c r="A181" s="3" t="s">
        <x:v>127</x:v>
      </x:c>
      <x:c r="B181" s="3" t="s">
        <x:v>38</x:v>
      </x:c>
      <x:c r="C181" s="3" t="s">
        <x:v>113</x:v>
      </x:c>
      <x:c r="D181" s="5" t="n">
        <x:v>335.8</x:v>
      </x:c>
      <x:c r="E181" s="14" t="n">
        <x:v>0.095</x:v>
      </x:c>
      <x:c r="F181" s="15" t="n">
        <x:v>43.9</x:v>
      </x:c>
    </x:row>
    <x:row r="182" ht="15" hidden="0">
      <x:c r="A182" s="3" t="s">
        <x:v>127</x:v>
      </x:c>
      <x:c r="B182" s="3" t="s">
        <x:v>38</x:v>
      </x:c>
      <x:c r="C182" s="3" t="s">
        <x:v>115</x:v>
      </x:c>
      <x:c r="D182" s="5" t="n">
        <x:v>35</x:v>
      </x:c>
      <x:c r="E182" s="14" t="n">
        <x:v>0.095</x:v>
      </x:c>
      <x:c r="F182" s="15" t="n">
        <x:v>15.32</x:v>
      </x:c>
    </x:row>
    <x:row r="183" ht="15" hidden="0">
      <x:c r="A183" s="3" t="s">
        <x:v>127</x:v>
      </x:c>
      <x:c r="B183" s="3" t="s">
        <x:v>41</x:v>
      </x:c>
      <x:c r="C183" s="3" t="s">
        <x:v>97</x:v>
      </x:c>
      <x:c r="D183" s="5" t="n">
        <x:v>2135.5</x:v>
      </x:c>
      <x:c r="E183" s="14" t="n">
        <x:v>0.095</x:v>
      </x:c>
      <x:c r="F183" s="15" t="n">
        <x:v>214.87</x:v>
      </x:c>
    </x:row>
    <x:row r="184" ht="15" hidden="0">
      <x:c r="A184" s="3" t="s">
        <x:v>127</x:v>
      </x:c>
      <x:c r="B184" s="3" t="s">
        <x:v>41</x:v>
      </x:c>
      <x:c r="C184" s="3" t="s">
        <x:v>109</x:v>
      </x:c>
      <x:c r="D184" s="5" t="n">
        <x:v>821.9</x:v>
      </x:c>
      <x:c r="E184" s="14" t="n">
        <x:v>0.095</x:v>
      </x:c>
      <x:c r="F184" s="15" t="n">
        <x:v>90.08</x:v>
      </x:c>
    </x:row>
    <x:row r="185" ht="15" hidden="0">
      <x:c r="A185" s="3" t="s">
        <x:v>127</x:v>
      </x:c>
      <x:c r="B185" s="3" t="s">
        <x:v>41</x:v>
      </x:c>
      <x:c r="C185" s="3" t="s">
        <x:v>111</x:v>
      </x:c>
      <x:c r="D185" s="5" t="n">
        <x:v>788.6</x:v>
      </x:c>
      <x:c r="E185" s="14" t="n">
        <x:v>0.095</x:v>
      </x:c>
      <x:c r="F185" s="15" t="n">
        <x:v>86.92</x:v>
      </x:c>
    </x:row>
    <x:row r="186" ht="15" hidden="0">
      <x:c r="A186" s="3" t="s">
        <x:v>127</x:v>
      </x:c>
      <x:c r="B186" s="3" t="s">
        <x:v>41</x:v>
      </x:c>
      <x:c r="C186" s="3" t="s">
        <x:v>113</x:v>
      </x:c>
      <x:c r="D186" s="5" t="n">
        <x:v>547.1</x:v>
      </x:c>
      <x:c r="E186" s="14" t="n">
        <x:v>0.095</x:v>
      </x:c>
      <x:c r="F186" s="15" t="n">
        <x:v>63.97</x:v>
      </x:c>
    </x:row>
    <x:row r="187" ht="15" hidden="0">
      <x:c r="A187" s="3" t="s">
        <x:v>127</x:v>
      </x:c>
      <x:c r="B187" s="3" t="s">
        <x:v>41</x:v>
      </x:c>
      <x:c r="C187" s="3" t="s">
        <x:v>115</x:v>
      </x:c>
      <x:c r="D187" s="5" t="n">
        <x:v>279.7</x:v>
      </x:c>
      <x:c r="E187" s="14" t="n">
        <x:v>0.095</x:v>
      </x:c>
      <x:c r="F187" s="15" t="n">
        <x:v>38.57</x:v>
      </x:c>
    </x:row>
    <x:row r="188" ht="15" hidden="0">
      <x:c r="A188" s="3" t="s">
        <x:v>127</x:v>
      </x:c>
      <x:c r="B188" s="3" t="s">
        <x:v>44</x:v>
      </x:c>
      <x:c r="C188" s="3" t="s">
        <x:v>97</x:v>
      </x:c>
      <x:c r="D188" s="5" t="n">
        <x:v>2290</x:v>
      </x:c>
      <x:c r="E188" s="14" t="n">
        <x:v>0.095</x:v>
      </x:c>
      <x:c r="F188" s="15" t="n">
        <x:v>229.55</x:v>
      </x:c>
    </x:row>
    <x:row r="189" ht="15" hidden="0">
      <x:c r="A189" s="3" t="s">
        <x:v>127</x:v>
      </x:c>
      <x:c r="B189" s="3" t="s">
        <x:v>44</x:v>
      </x:c>
      <x:c r="C189" s="3" t="s">
        <x:v>109</x:v>
      </x:c>
      <x:c r="D189" s="5" t="n">
        <x:v>979.6</x:v>
      </x:c>
      <x:c r="E189" s="14" t="n">
        <x:v>0.095</x:v>
      </x:c>
      <x:c r="F189" s="15" t="n">
        <x:v>105.06</x:v>
      </x:c>
    </x:row>
    <x:row r="190" ht="15" hidden="0">
      <x:c r="A190" s="3" t="s">
        <x:v>127</x:v>
      </x:c>
      <x:c r="B190" s="3" t="s">
        <x:v>44</x:v>
      </x:c>
      <x:c r="C190" s="3" t="s">
        <x:v>111</x:v>
      </x:c>
      <x:c r="D190" s="5" t="n">
        <x:v>947.7</x:v>
      </x:c>
      <x:c r="E190" s="14" t="n">
        <x:v>0.095</x:v>
      </x:c>
      <x:c r="F190" s="15" t="n">
        <x:v>102.03</x:v>
      </x:c>
    </x:row>
    <x:row r="191" ht="15" hidden="0">
      <x:c r="A191" s="3" t="s">
        <x:v>127</x:v>
      </x:c>
      <x:c r="B191" s="3" t="s">
        <x:v>44</x:v>
      </x:c>
      <x:c r="C191" s="3" t="s">
        <x:v>113</x:v>
      </x:c>
      <x:c r="D191" s="5" t="n">
        <x:v>707.5</x:v>
      </x:c>
      <x:c r="E191" s="14" t="n">
        <x:v>0.095</x:v>
      </x:c>
      <x:c r="F191" s="15" t="n">
        <x:v>79.21</x:v>
      </x:c>
    </x:row>
    <x:row r="192" ht="15" hidden="0">
      <x:c r="A192" s="3" t="s">
        <x:v>127</x:v>
      </x:c>
      <x:c r="B192" s="3" t="s">
        <x:v>44</x:v>
      </x:c>
      <x:c r="C192" s="3" t="s">
        <x:v>115</x:v>
      </x:c>
      <x:c r="D192" s="5" t="n">
        <x:v>420.4</x:v>
      </x:c>
      <x:c r="E192" s="14" t="n">
        <x:v>0.095</x:v>
      </x:c>
      <x:c r="F192" s="15" t="n">
        <x:v>51.94</x:v>
      </x:c>
    </x:row>
    <x:row r="193" ht="15" hidden="0">
      <x:c r="A193" s="3" t="s">
        <x:v>127</x:v>
      </x:c>
      <x:c r="B193" s="3" t="s">
        <x:v>47</x:v>
      </x:c>
      <x:c r="C193" s="3" t="s">
        <x:v>97</x:v>
      </x:c>
      <x:c r="D193" s="5" t="n">
        <x:v>2507.9</x:v>
      </x:c>
      <x:c r="E193" s="14" t="n">
        <x:v>0.095</x:v>
      </x:c>
      <x:c r="F193" s="15" t="n">
        <x:v>250.25</x:v>
      </x:c>
    </x:row>
    <x:row r="194" ht="15" hidden="0">
      <x:c r="A194" s="3" t="s">
        <x:v>127</x:v>
      </x:c>
      <x:c r="B194" s="3" t="s">
        <x:v>47</x:v>
      </x:c>
      <x:c r="C194" s="3" t="s">
        <x:v>109</x:v>
      </x:c>
      <x:c r="D194" s="5" t="n">
        <x:v>1193.2</x:v>
      </x:c>
      <x:c r="E194" s="14" t="n">
        <x:v>0.095</x:v>
      </x:c>
      <x:c r="F194" s="15" t="n">
        <x:v>125.35</x:v>
      </x:c>
    </x:row>
    <x:row r="195" ht="15" hidden="0">
      <x:c r="A195" s="3" t="s">
        <x:v>127</x:v>
      </x:c>
      <x:c r="B195" s="3" t="s">
        <x:v>47</x:v>
      </x:c>
      <x:c r="C195" s="3" t="s">
        <x:v>111</x:v>
      </x:c>
      <x:c r="D195" s="5" t="n">
        <x:v>1158.3</x:v>
      </x:c>
      <x:c r="E195" s="14" t="n">
        <x:v>0.095</x:v>
      </x:c>
      <x:c r="F195" s="15" t="n">
        <x:v>122.04</x:v>
      </x:c>
    </x:row>
    <x:row r="196" ht="15" hidden="0">
      <x:c r="A196" s="3" t="s">
        <x:v>127</x:v>
      </x:c>
      <x:c r="B196" s="3" t="s">
        <x:v>47</x:v>
      </x:c>
      <x:c r="C196" s="3" t="s">
        <x:v>113</x:v>
      </x:c>
      <x:c r="D196" s="5" t="n">
        <x:v>915.3</x:v>
      </x:c>
      <x:c r="E196" s="14" t="n">
        <x:v>0.095</x:v>
      </x:c>
      <x:c r="F196" s="15" t="n">
        <x:v>98.95</x:v>
      </x:c>
    </x:row>
    <x:row r="197" ht="15" hidden="0">
      <x:c r="A197" s="3" t="s">
        <x:v>127</x:v>
      </x:c>
      <x:c r="B197" s="3" t="s">
        <x:v>47</x:v>
      </x:c>
      <x:c r="C197" s="3" t="s">
        <x:v>115</x:v>
      </x:c>
      <x:c r="D197" s="5" t="n">
        <x:v>644.9</x:v>
      </x:c>
      <x:c r="E197" s="14" t="n">
        <x:v>0.095</x:v>
      </x:c>
      <x:c r="F197" s="15" t="n">
        <x:v>73.27</x:v>
      </x:c>
    </x:row>
    <x:row r="198" ht="15" hidden="0">
      <x:c r="A198" s="3" t="s">
        <x:v>127</x:v>
      </x:c>
      <x:c r="B198" s="3" t="s">
        <x:v>50</x:v>
      </x:c>
      <x:c r="C198" s="3" t="s">
        <x:v>97</x:v>
      </x:c>
      <x:c r="D198" s="5" t="n">
        <x:v>3054.1</x:v>
      </x:c>
      <x:c r="E198" s="14" t="n">
        <x:v>0.095</x:v>
      </x:c>
      <x:c r="F198" s="15" t="n">
        <x:v>302.14</x:v>
      </x:c>
    </x:row>
    <x:row r="199" ht="15" hidden="0">
      <x:c r="A199" s="3" t="s">
        <x:v>127</x:v>
      </x:c>
      <x:c r="B199" s="3" t="s">
        <x:v>50</x:v>
      </x:c>
      <x:c r="C199" s="3" t="s">
        <x:v>109</x:v>
      </x:c>
      <x:c r="D199" s="5" t="n">
        <x:v>1737.7</x:v>
      </x:c>
      <x:c r="E199" s="14" t="n">
        <x:v>0.095</x:v>
      </x:c>
      <x:c r="F199" s="15" t="n">
        <x:v>177.08</x:v>
      </x:c>
    </x:row>
    <x:row r="200" ht="15" hidden="0">
      <x:c r="A200" s="3" t="s">
        <x:v>127</x:v>
      </x:c>
      <x:c r="B200" s="3" t="s">
        <x:v>50</x:v>
      </x:c>
      <x:c r="C200" s="3" t="s">
        <x:v>111</x:v>
      </x:c>
      <x:c r="D200" s="5" t="n">
        <x:v>1698.9</x:v>
      </x:c>
      <x:c r="E200" s="14" t="n">
        <x:v>0.095</x:v>
      </x:c>
      <x:c r="F200" s="15" t="n">
        <x:v>173.4</x:v>
      </x:c>
    </x:row>
    <x:row r="201" ht="15" hidden="0">
      <x:c r="A201" s="3" t="s">
        <x:v>127</x:v>
      </x:c>
      <x:c r="B201" s="3" t="s">
        <x:v>50</x:v>
      </x:c>
      <x:c r="C201" s="3" t="s">
        <x:v>113</x:v>
      </x:c>
      <x:c r="D201" s="5" t="n">
        <x:v>1455.6</x:v>
      </x:c>
      <x:c r="E201" s="14" t="n">
        <x:v>0.095</x:v>
      </x:c>
      <x:c r="F201" s="15" t="n">
        <x:v>150.28</x:v>
      </x:c>
    </x:row>
    <x:row r="202" ht="15" hidden="0">
      <x:c r="A202" s="3" t="s">
        <x:v>127</x:v>
      </x:c>
      <x:c r="B202" s="3" t="s">
        <x:v>50</x:v>
      </x:c>
      <x:c r="C202" s="3" t="s">
        <x:v>115</x:v>
      </x:c>
      <x:c r="D202" s="5" t="n">
        <x:v>1206.4</x:v>
      </x:c>
      <x:c r="E202" s="14" t="n">
        <x:v>0.095</x:v>
      </x:c>
      <x:c r="F202" s="15" t="n">
        <x:v>126.61</x:v>
      </x:c>
    </x:row>
    <x:row r="203" ht="15" hidden="0">
      <x:c r="A203" s="3" t="s">
        <x:v>127</x:v>
      </x:c>
      <x:c r="B203" s="3" t="s">
        <x:v>53</x:v>
      </x:c>
      <x:c r="C203" s="3" t="s">
        <x:v>97</x:v>
      </x:c>
      <x:c r="D203" s="5" t="n">
        <x:v>4078.7</x:v>
      </x:c>
      <x:c r="E203" s="14" t="n">
        <x:v>0.095</x:v>
      </x:c>
      <x:c r="F203" s="15" t="n">
        <x:v>399.48</x:v>
      </x:c>
    </x:row>
    <x:row r="204" ht="15" hidden="0">
      <x:c r="A204" s="3" t="s">
        <x:v>127</x:v>
      </x:c>
      <x:c r="B204" s="3" t="s">
        <x:v>53</x:v>
      </x:c>
      <x:c r="C204" s="3" t="s">
        <x:v>109</x:v>
      </x:c>
      <x:c r="D204" s="5" t="n">
        <x:v>2765</x:v>
      </x:c>
      <x:c r="E204" s="14" t="n">
        <x:v>0.095</x:v>
      </x:c>
      <x:c r="F204" s="15" t="n">
        <x:v>274.68</x:v>
      </x:c>
    </x:row>
    <x:row r="205" ht="15" hidden="0">
      <x:c r="A205" s="3" t="s">
        <x:v>127</x:v>
      </x:c>
      <x:c r="B205" s="3" t="s">
        <x:v>53</x:v>
      </x:c>
      <x:c r="C205" s="3" t="s">
        <x:v>111</x:v>
      </x:c>
      <x:c r="D205" s="5" t="n">
        <x:v>2724.1</x:v>
      </x:c>
      <x:c r="E205" s="14" t="n">
        <x:v>0.095</x:v>
      </x:c>
      <x:c r="F205" s="15" t="n">
        <x:v>270.79</x:v>
      </x:c>
    </x:row>
    <x:row r="206" ht="15" hidden="0">
      <x:c r="A206" s="3" t="s">
        <x:v>127</x:v>
      </x:c>
      <x:c r="B206" s="3" t="s">
        <x:v>53</x:v>
      </x:c>
      <x:c r="C206" s="3" t="s">
        <x:v>113</x:v>
      </x:c>
      <x:c r="D206" s="5" t="n">
        <x:v>2482.2</x:v>
      </x:c>
      <x:c r="E206" s="14" t="n">
        <x:v>0.095</x:v>
      </x:c>
      <x:c r="F206" s="15" t="n">
        <x:v>247.81</x:v>
      </x:c>
    </x:row>
    <x:row r="207" ht="15" hidden="0">
      <x:c r="A207" s="3" t="s">
        <x:v>127</x:v>
      </x:c>
      <x:c r="B207" s="3" t="s">
        <x:v>53</x:v>
      </x:c>
      <x:c r="C207" s="3" t="s">
        <x:v>115</x:v>
      </x:c>
      <x:c r="D207" s="5" t="n">
        <x:v>2240.9</x:v>
      </x:c>
      <x:c r="E207" s="14" t="n">
        <x:v>0.095</x:v>
      </x:c>
      <x:c r="F207" s="15" t="n">
        <x:v>224.89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40" hidden="0" customWidth="1"/>
    <x:col min="3" max="3" width="24" hidden="0" customWidth="1"/>
    <x:col min="4" max="4" width="25" hidden="0" customWidth="1"/>
    <x:col min="5" max="5" width="82" hidden="0" customWidth="1"/>
  </x:cols>
  <x:sheetData>
    <x:row r="1" ht="28" customHeight="1">
      <x:c r="A1" s="18" t="str">
        <x:v>Parametro</x:v>
      </x:c>
      <x:c r="B1" s="18" t="str">
        <x:v>Valor</x:v>
      </x:c>
      <x:c r="C1" s="18" t="str">
        <x:v>Unidad</x:v>
      </x:c>
      <x:c r="D1" s="18" t="str">
        <x:v>Tipo</x:v>
      </x:c>
      <x:c r="E1" s="18" t="str">
        <x:v>Explicacion</x:v>
      </x:c>
    </x:row>
    <x:row r="2" ht="28" customHeight="1">
      <x:c r="A2" s="16" t="str">
        <x:v>Factor_Centros</x:v>
      </x:c>
      <x:c r="B2" s="20" t="n">
        <x:v>3</x:v>
      </x:c>
      <x:c r="C2" s="16" t="str">
        <x:v>años de costo fijo</x:v>
      </x:c>
      <x:c r="D2" s="16" t="str">
        <x:v>Supuesto de prueba</x:v>
      </x:c>
      <x:c r="E2" s="16" t="str">
        <x:v>iC = factor por costo fijo anual. Sin cotización real.</x:v>
      </x:c>
    </x:row>
    <x:row r="3" ht="28" customHeight="1">
      <x:c r="A3" s="16" t="str">
        <x:v>Factor_Lineas</x:v>
      </x:c>
      <x:c r="B3" s="20" t="n">
        <x:v>5</x:v>
      </x:c>
      <x:c r="C3" s="16" t="str">
        <x:v>años de costo fijo</x:v>
      </x:c>
      <x:c r="D3" s="16" t="str">
        <x:v>Supuesto de prueba</x:v>
      </x:c>
      <x:c r="E3" s="16" t="str">
        <x:v>iP = factor por costo fijo anual por línea compatible.</x:v>
      </x:c>
    </x:row>
    <x:row r="4" ht="28" customHeight="1">
      <x:c r="A4" s="16" t="str">
        <x:v>Origen_Inversiones</x:v>
      </x:c>
      <x:c r="B4" s="16" t="str">
        <x:v>Simulacion de prueba</x:v>
      </x:c>
      <x:c r="C4" s="16" t="str">
        <x:v>texto</x:v>
      </x:c>
      <x:c r="D4" s="16" t="str">
        <x:v>Sin cotización real</x:v>
      </x:c>
      <x:c r="E4" s="16" t="str">
        <x:v>Los factores permiten probar el código; no son estimaciones empíricas.</x:v>
      </x:c>
    </x:row>
    <x:row r="5" ht="28" customHeight="1">
      <x:c r="A5" s="16" t="str">
        <x:v>CLP_por_M$</x:v>
      </x:c>
      <x:c r="B5" s="21" t="n">
        <x:v>1000</x:v>
      </x:c>
      <x:c r="C5" s="16" t="str">
        <x:v>CLP / M$</x:v>
      </x:c>
      <x:c r="D5" s="16" t="str">
        <x:v>Conversión de unidad</x:v>
      </x:c>
      <x:c r="E5" s="16" t="str">
        <x:v>M$ significa miles de pesos; MM$ significa millones.</x:v>
      </x:c>
    </x:row>
    <x:row r="6" ht="28" customHeight="1">
      <x:c r="A6" s="16" t="str">
        <x:v>Fuente_Metas</x:v>
      </x:c>
      <x:c r="B6" s="16" t="str">
        <x:v>DS8, artículo 20</x:v>
      </x:c>
      <x:c r="C6" s="16" t="str">
        <x:v>normativa</x:v>
      </x:c>
      <x:c r="D6" s="16" t="str">
        <x:v>Fuente oficial</x:v>
      </x:c>
      <x:c r="E6" s="16" t="str">
        <x:v>https://www.bcn.cl/leychile/navegar?idNorma=1154847</x:v>
      </x:c>
    </x:row>
    <x:row r="7" ht="28" customHeight="1">
      <x:c r="A7" s="16" t="str">
        <x:v>Uso_Inversiones</x:v>
      </x:c>
      <x:c r="B7" s="16" t="str">
        <x:v>Reemplazar o fundamentar para E3</x:v>
      </x:c>
      <x:c r="C7" s="16" t="str">
        <x:v>texto</x:v>
      </x:c>
      <x:c r="D7" s="16" t="str">
        <x:v>Pendiente de respaldo</x:v>
      </x:c>
      <x:c r="E7" s="16" t="str">
        <x:v>Cambiar los montos por sitio/línea o justificar los factores.</x:v>
      </x:c>
    </x:row>
    <x:row r="8" ht="28" customHeight="1">
      <x:c r="A8" s="16" t="str">
        <x:v>Base_Costos</x:v>
      </x:c>
      <x:c r="B8" s="16" t="str">
        <x:v>Pesos constantes; sin descuento</x:v>
      </x:c>
      <x:c r="C8" s="16" t="str">
        <x:v>texto</x:v>
      </x:c>
      <x:c r="D8" s="16" t="str">
        <x:v>Supuesto del modelo</x:v>
      </x:c>
      <x:c r="E8" s="16" t="str">
        <x:v>La inversión se paga una vez, adicional a la operación anual.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8" hidden="0" customWidth="1"/>
    <x:col min="3" max="3" width="29" hidden="0" customWidth="1"/>
    <x:col min="4" max="4" width="25" hidden="0" customWidth="1"/>
    <x:col min="5" max="5" width="3" hidden="0" customWidth="1"/>
    <x:col min="6" max="6" width="31" hidden="0" customWidth="1"/>
    <x:col min="7" max="7" width="20" hidden="0" customWidth="1"/>
    <x:col min="8" max="8" width="13" hidden="0" customWidth="1"/>
    <x:col min="9" max="9" width="69" hidden="0" customWidth="1"/>
  </x:cols>
  <x:sheetData>
    <x:row r="1" ht="36" customHeight="1">
      <x:c r="A1" s="37" t="str">
        <x:v>Anio_t</x:v>
      </x:c>
      <x:c r="B1" s="37" t="str">
        <x:v>Oferta_Nacional_G [ton]</x:v>
      </x:c>
      <x:c r="C1" s="37" t="str">
        <x:v>Participacion_Valora_theta [-]</x:v>
      </x:c>
      <x:c r="D1" s="37" t="str">
        <x:v>Base_Metas_B [ton]</x:v>
      </x:c>
      <x:c r="E1" s="32"/>
      <x:c r="F1" s="37" t="str">
        <x:v>Parametro</x:v>
      </x:c>
      <x:c r="G1" s="37" t="str">
        <x:v>Valor</x:v>
      </x:c>
      <x:c r="H1" s="37" t="str">
        <x:v>Unidad</x:v>
      </x:c>
      <x:c r="I1" s="37" t="str">
        <x:v>Origen / criterio</x:v>
      </x:c>
    </x:row>
    <x:row r="2" ht="23" customHeight="1">
      <x:c r="A2" s="43" t="n">
        <x:v>2026</x:v>
      </x:c>
      <x:c r="B2" s="44" t="n">
        <x:f>$G$2*$G$3*(1+$G$5)^(A2-$G$6)</x:f>
        <x:v>147420</x:v>
      </x:c>
      <x:c r="C2" s="45" t="n">
        <x:f>$G$4</x:f>
        <x:v>0.52</x:v>
      </x:c>
      <x:c r="D2" s="44" t="n">
        <x:f>B2*C2</x:f>
        <x:v>76658.40000000001</x:v>
      </x:c>
      <x:c r="E2" s="32"/>
      <x:c r="F2" s="32" t="str">
        <x:v>NFU de referencia 2025</x:v>
      </x:c>
      <x:c r="G2" s="40" t="n">
        <x:v>189000</x:v>
      </x:c>
      <x:c r="H2" s="32" t="str">
        <x:v>ton</x:v>
      </x:c>
      <x:c r="I2" s="46" t="str">
        <x:v>datos hasta ahora.xlsx: Generacion!B1</x:v>
      </x:c>
    </x:row>
    <x:row r="3" ht="23" customHeight="1">
      <x:c r="A3" s="43" t="n">
        <x:v>2027</x:v>
      </x:c>
      <x:c r="B3" s="44" t="n">
        <x:f>$G$2*$G$3*(1+$G$5)^(A3-$G$6)</x:f>
        <x:v>151105.5</x:v>
      </x:c>
      <x:c r="C3" s="45" t="n">
        <x:f>$G$4</x:f>
        <x:v>0.52</x:v>
      </x:c>
      <x:c r="D3" s="44" t="n">
        <x:f>B3*C3</x:f>
        <x:v>78574.86</x:v>
      </x:c>
      <x:c r="E3" s="32"/>
      <x:c r="F3" s="32" t="str">
        <x:v>Fracción de categoría A</x:v>
      </x:c>
      <x:c r="G3" s="41" t="n">
        <x:v>0.78</x:v>
      </x:c>
      <x:c r="H3" s="32" t="str">
        <x:v>fracción</x:v>
      </x:c>
      <x:c r="I3" s="46" t="str">
        <x:v>datos hasta ahora.xlsx: Generacion!B2</x:v>
      </x:c>
    </x:row>
    <x:row r="4" ht="23" customHeight="1">
      <x:c r="A4" s="43" t="n">
        <x:v>2028</x:v>
      </x:c>
      <x:c r="B4" s="44" t="n">
        <x:f>$G$2*$G$3*(1+$G$5)^(A4-$G$6)</x:f>
        <x:v>154883.13749999998</x:v>
      </x:c>
      <x:c r="C4" s="45" t="n">
        <x:f>$G$4</x:f>
        <x:v>0.52</x:v>
      </x:c>
      <x:c r="D4" s="44" t="n">
        <x:f>B4*C4</x:f>
        <x:v>80539.2315</x:v>
      </x:c>
      <x:c r="E4" s="32"/>
      <x:c r="F4" s="32" t="str">
        <x:v>Participación de Valora Más</x:v>
      </x:c>
      <x:c r="G4" s="41" t="n">
        <x:v>0.52</x:v>
      </x:c>
      <x:c r="H4" s="32" t="str">
        <x:v>fracción</x:v>
      </x:c>
      <x:c r="I4" s="46" t="str">
        <x:v>datos hasta ahora.xlsx: Generacion!B3</x:v>
      </x:c>
    </x:row>
    <x:row r="5" ht="23" customHeight="1">
      <x:c r="A5" s="43" t="n">
        <x:v>2029</x:v>
      </x:c>
      <x:c r="B5" s="44" t="n">
        <x:f>$G$2*$G$3*(1+$G$5)^(A5-$G$6)</x:f>
        <x:v>158755.21593749995</x:v>
      </x:c>
      <x:c r="C5" s="45" t="n">
        <x:f>$G$4</x:f>
        <x:v>0.52</x:v>
      </x:c>
      <x:c r="D5" s="44" t="n">
        <x:f>B5*C5</x:f>
        <x:v>82552.71228749998</x:v>
      </x:c>
      <x:c r="E5" s="32"/>
      <x:c r="F5" s="32" t="str">
        <x:v>Crecimiento anual</x:v>
      </x:c>
      <x:c r="G5" s="41" t="n">
        <x:v>0.025</x:v>
      </x:c>
      <x:c r="H5" s="32" t="str">
        <x:v>fracción</x:v>
      </x:c>
      <x:c r="I5" s="46" t="str">
        <x:v>datos hasta ahora.xlsx: Generacion!B4</x:v>
      </x:c>
    </x:row>
    <x:row r="6" ht="23" customHeight="1">
      <x:c r="A6" s="43" t="n">
        <x:v>2030</x:v>
      </x:c>
      <x:c r="B6" s="44" t="n">
        <x:f>$G$2*$G$3*(1+$G$5)^(A6-$G$6)</x:f>
        <x:v>162724.09633593744</x:v>
      </x:c>
      <x:c r="C6" s="45" t="n">
        <x:f>$G$4</x:f>
        <x:v>0.52</x:v>
      </x:c>
      <x:c r="D6" s="44" t="n">
        <x:f>B6*C6</x:f>
        <x:v>84616.53009468748</x:v>
      </x:c>
      <x:c r="E6" s="32"/>
      <x:c r="F6" s="32" t="str">
        <x:v>Primer año del modelo</x:v>
      </x:c>
      <x:c r="G6" s="42" t="n">
        <x:v>2026</x:v>
      </x:c>
      <x:c r="H6" s="32" t="str">
        <x:v>año</x:v>
      </x:c>
      <x:c r="I6" s="46" t="str">
        <x:v>Primer período de Metas_DS8</x:v>
      </x:c>
    </x:row>
    <x:row r="7">
      <x:c r="A7" s="32"/>
      <x:c r="B7" s="32"/>
      <x:c r="C7" s="32"/>
      <x:c r="D7" s="32"/>
      <x:c r="E7" s="32"/>
      <x:c r="F7" s="32"/>
      <x:c r="G7" s="32"/>
      <x:c r="H7" s="32"/>
      <x:c r="I7" s="46"/>
    </x:row>
    <x:row r="8">
      <x:c r="A8" s="32"/>
      <x:c r="B8" s="32"/>
      <x:c r="C8" s="32"/>
      <x:c r="D8" s="32"/>
      <x:c r="E8" s="32"/>
      <x:c r="F8" s="47" t="str">
        <x:v>Criterio</x:v>
      </x:c>
      <x:c r="G8" s="32"/>
      <x:c r="H8" s="32"/>
      <x:c r="I8" s="46"/>
    </x:row>
    <x:row r="9" ht="23" customHeight="1">
      <x:c r="A9" s="32"/>
      <x:c r="B9" s="32"/>
      <x:c r="C9" s="32"/>
      <x:c r="D9" s="32"/>
      <x:c r="E9" s="32"/>
      <x:c r="F9" s="32" t="str">
        <x:v>Oferta regional</x:v>
      </x:c>
      <x:c r="G9" s="32" t="str">
        <x:v>g_rt = p_r G_t</x:v>
      </x:c>
      <x:c r="H9" s="32"/>
      <x:c r="I9" s="46" t="str">
        <x:v>Oferta potencial contratable; no se reserva el 52% por región.</x:v>
      </x:c>
    </x:row>
    <x:row r="10" ht="23" customHeight="1">
      <x:c r="A10" s="32"/>
      <x:c r="B10" s="32"/>
      <x:c r="C10" s="32"/>
      <x:c r="D10" s="32"/>
      <x:c r="E10" s="32"/>
      <x:c r="F10" s="32" t="str">
        <x:v>Base de metas</x:v>
      </x:c>
      <x:c r="G10" s="32" t="str">
        <x:v>B_t = theta G_t</x:v>
      </x:c>
      <x:c r="H10" s="32"/>
      <x:c r="I10" s="46" t="str">
        <x:v>Aproximación de ventas previas ajustadas por desgaste.</x:v>
      </x:c>
    </x:row>
    <x:row r="11" ht="23" customHeight="1">
      <x:c r="A11" s="32"/>
      <x:c r="B11" s="32"/>
      <x:c r="C11" s="32"/>
      <x:c r="D11" s="32"/>
      <x:c r="E11" s="32"/>
      <x:c r="F11" s="32" t="str">
        <x:v>Desgaste</x:v>
      </x:c>
      <x:c r="G11" s="32" t="str">
        <x:v>Ya incluido</x:v>
      </x:c>
      <x:c r="H11" s="32"/>
      <x:c r="I11" s="46" t="str">
        <x:v>No volver a multiplicar por 0,84.</x:v>
      </x:c>
    </x:row>
    <x:row r="12" ht="23" customHeight="1">
      <x:c r="A12" s="32"/>
      <x:c r="B12" s="32"/>
      <x:c r="C12" s="32"/>
      <x:c r="D12" s="32"/>
      <x:c r="E12" s="32"/>
      <x:c r="F12" s="32" t="str">
        <x:v>Datos operativos</x:v>
      </x:c>
      <x:c r="G12" s="32" t="str">
        <x:v>Prueba</x:v>
      </x:c>
      <x:c r="H12" s="32"/>
      <x:c r="I12" s="46" t="str">
        <x:v>Capacidades y costos conservados de la instancia anterior.</x:v>
      </x:c>
    </x:row>
    <x:row r="13" ht="23" customHeight="1">
      <x:c r="A13" s="32"/>
      <x:c r="B13" s="32"/>
      <x:c r="C13" s="32"/>
      <x:c r="D13" s="32"/>
      <x:c r="E13" s="32"/>
      <x:c r="F13" s="32" t="str">
        <x:v>Acceso a oferta</x:v>
      </x:c>
      <x:c r="G13" s="32" t="str">
        <x:v>Supuesto</x:v>
      </x:c>
      <x:c r="H13" s="32"/>
      <x:c r="I13" s="46" t="str">
        <x:v>No se modelan otros sistemas ni residuos comprometidos.</x:v>
      </x:c>
    </x:row>
    <x:row r="14" ht="23" customHeight="1">
      <x:c r="A14" s="32"/>
      <x:c r="B14" s="32"/>
      <x:c r="C14" s="32"/>
      <x:c r="D14" s="32"/>
      <x:c r="E14" s="32"/>
      <x:c r="F14" s="32"/>
      <x:c r="G14" s="32"/>
      <x:c r="H14" s="32"/>
      <x:c r="I14" s="46"/>
    </x:row>
    <x:row r="15" ht="23" customHeight="1">
      <x:c r="A15" s="32"/>
      <x:c r="B15" s="32"/>
      <x:c r="C15" s="32"/>
      <x:c r="D15" s="32"/>
      <x:c r="E15" s="32"/>
      <x:c r="F15" s="32" t="str">
        <x:v>Referencia temporal</x:v>
      </x:c>
      <x:c r="G15" s="32"/>
      <x:c r="H15" s="32"/>
      <x:c r="I15" s="46" t="str">
        <x:v>NFU 2025 se usa como proxy de oferta del primer año, 2026.</x:v>
      </x:c>
    </x:row>
    <x:row r="16" ht="23" customHeight="1">
      <x:c r="A16" s="32"/>
      <x:c r="B16" s="32"/>
      <x:c r="C16" s="32"/>
      <x:c r="D16" s="32"/>
      <x:c r="E16" s="32"/>
      <x:c r="F16" s="32" t="str">
        <x:v>Reparto regional</x:v>
      </x:c>
      <x:c r="G16" s="32"/>
      <x:c r="H16" s="32"/>
      <x:c r="I16" s="46" t="str">
        <x:v>Regiones_Generacion: vehículos de 2024 del archivo recibido.</x:v>
      </x:c>
    </x:row>
  </x:sheetData>
  <x:pageMargins left="0.7" right="0.7" top="0.75" bottom="0.75" header="0.3" footer="0.3"/>
</x:worksheet>
</file>